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 sheetId="1" r:id="rId3"/>
    <sheet state="visible" name="Template" sheetId="2" r:id="rId4"/>
    <sheet state="visible" name="Lists" sheetId="3" r:id="rId5"/>
  </sheets>
  <definedNames/>
  <calcPr/>
</workbook>
</file>

<file path=xl/sharedStrings.xml><?xml version="1.0" encoding="utf-8"?>
<sst xmlns="http://schemas.openxmlformats.org/spreadsheetml/2006/main" count="713" uniqueCount="422">
  <si>
    <t>Name</t>
  </si>
  <si>
    <t>Details</t>
  </si>
  <si>
    <t>Description</t>
  </si>
  <si>
    <t>Date</t>
  </si>
  <si>
    <t>Role</t>
  </si>
  <si>
    <t>Big Img</t>
  </si>
  <si>
    <t>Category</t>
  </si>
  <si>
    <t>Skills</t>
  </si>
  <si>
    <t>Company</t>
  </si>
  <si>
    <t>Cards</t>
  </si>
  <si>
    <t>Search</t>
  </si>
  <si>
    <t>Only available items</t>
  </si>
  <si>
    <t>Date Full</t>
  </si>
  <si>
    <t>Hidden - NoFilter</t>
  </si>
  <si>
    <t>Hidden</t>
  </si>
  <si>
    <t>csvFilter - Hidden</t>
  </si>
  <si>
    <t>CategoryFilter (G,H) - Hidden</t>
  </si>
  <si>
    <t>StringFilter - Hidden</t>
  </si>
  <si>
    <t>Hidden - noFilter</t>
  </si>
  <si>
    <t>PWSA Wet Weather Program Manager</t>
  </si>
  <si>
    <t>Pittsburgh Water and Sewer Authority</t>
  </si>
  <si>
    <t>Key team member on $17 million Wet Weather Program Manager contract including contribution to the winning proposal development. The multi-year programs consists  of data management and analysis, data collection, a 100 meter flow monitor plan and SWMM model expansion and calibration. Lead engineer in developing and managing the flow monitoring plan including overseeing multiple subconsultants, QAQC review work and management of quality deliverables.</t>
  </si>
  <si>
    <t>Professional Engineer</t>
  </si>
  <si>
    <t>Hydrologic &amp; Hydraulic Modeling</t>
  </si>
  <si>
    <t>Wade Trim</t>
  </si>
  <si>
    <t>Hydraulic Model Report</t>
  </si>
  <si>
    <t>Cleveland Water Department</t>
  </si>
  <si>
    <t>Embedded onsite at Cleveland Water Department to document current water distribution modeling practices and advice on future steps to take during a staffing transition. Compiled a report on Standard Operating Procedures and modernization recommendations.</t>
  </si>
  <si>
    <t>Saddle Creek Groundwater Monitoring Dashboard</t>
  </si>
  <si>
    <t>City of Omaha</t>
  </si>
  <si>
    <t>Built a Power BI dashboard to ingest groundwater well readings from IoT sensors and post-process into a convenient accessible dashboard. Worked in conjunction with the Wade Trim DevOps team to automate and publish the tool for use on a large stormwater detention facility construction project.</t>
  </si>
  <si>
    <t>Tool Development</t>
  </si>
  <si>
    <t>Python Out File Reader Script</t>
  </si>
  <si>
    <t>Developed a python tool to interface with model .out files and pull requested .tsf files. Later improved this code and had it integrated into the "Autocalibration" tool being developed on behalf of Wade Trim.</t>
  </si>
  <si>
    <t>Coding</t>
  </si>
  <si>
    <t>MSDGC Model Calibration and Model Reviews</t>
  </si>
  <si>
    <t>Metropolitan Sewer District of Greater Cincinnati</t>
  </si>
  <si>
    <t>Worked on SWMM model calibration for the Metropolitan Sewer District of Cincinnati, calibrating several separate sanitary flow meter locations. Also revised and redistributed tributary acreage throughout the model area by developing a custom python script to allocate area along interceptor lines for RDII. Completed model reviews for other consultant model submissions and drafted a final calibration report for the Wade Trim portions of the model calibration effort.</t>
  </si>
  <si>
    <t>Comprehensive Plan</t>
  </si>
  <si>
    <t>&lt;b&gt;Washington-East Washington Joint Authority&lt;/b&gt; - SWMM Model</t>
  </si>
  <si>
    <t>Work with Authority to determine site locations for 10 flow meters and 3 raingages to be used in a SWMM model of the Authority's main interceptors and several key pump stations and syphons. Worked on but did not complete project due to change in job.</t>
  </si>
  <si>
    <t>Senior Project Engineer</t>
  </si>
  <si>
    <t>https://gdurl.com/aj_A</t>
  </si>
  <si>
    <t>ArcGIS Pro, InfoSWMM, SSOAP</t>
  </si>
  <si>
    <t>KLH Engineers</t>
  </si>
  <si>
    <t>Dravosburg Combined Sewer Systems Hydraulic Modeling</t>
  </si>
  <si>
    <t>&lt;b&gt;Pennsylvania American Water Company&lt;/b&gt; - SWMM Model of Dravosburg</t>
  </si>
  <si>
    <t>H&amp;H modeling of the Dravosburg Combined system utilizing flow monitor data and provided GIS database.  Worked on but did not complete project due to change in job.</t>
  </si>
  <si>
    <t>http://gdurl.com/N2Up</t>
  </si>
  <si>
    <t>ArcGIS Desktop, InfoSWMM, SSOAP, InfoWorks ICM SE</t>
  </si>
  <si>
    <t>Duquesne Combined Sewer Systems Hydraulic Modeling</t>
  </si>
  <si>
    <t>&lt;b&gt;Pennsylvania American Water Company&lt;/b&gt; - SWMM Model of Duquesne</t>
  </si>
  <si>
    <t>H&amp;H modeling of the Duquesne Combined system utilizing flow monitor data and provided GIS database.  Worked on but did not complete project due to change in job.</t>
  </si>
  <si>
    <t>McKeesport Combined Sewer Systems Hydraulic Modeling</t>
  </si>
  <si>
    <t>&lt;b&gt;Pennsylvania American Water Company&lt;/b&gt; - SWMM Model of McKeesport</t>
  </si>
  <si>
    <t>H&amp;H modeling of the McKeesport Combined system utilizing flow monitor data and provided GIS database. Worked on but did not complete project due to change in job.</t>
  </si>
  <si>
    <t>Zoning Violation Program</t>
  </si>
  <si>
    <t>&lt;b&gt;Township of South Strabane&lt;/b&gt; - Survey123 and Dashboard Development</t>
  </si>
  <si>
    <t>Developed Survey123 Form with data validation and dependencies along with a Dashboard and desktop web map for office management. Process allowed Zoning Officer and staff to create violation reports which were stored in an ArcGIS Online feature service. This was consumed by Dashboards and web maps to give ingith to office staff and allow updates to violations. Individual violation letters were automatically generated along with summary reports for board meetings.</t>
  </si>
  <si>
    <t>https://gdurl.com/aw_o</t>
  </si>
  <si>
    <t>GIS</t>
  </si>
  <si>
    <t>ArcGIS Online, ArcGIS Pro, Survey123, ArcGIS Dashboards</t>
  </si>
  <si>
    <t>Laurel Run PMF Study</t>
  </si>
  <si>
    <t>&lt;b&gt;St. Mary's Water Authority&lt;/b&gt; - HEC-HMS Model</t>
  </si>
  <si>
    <t>Development of an HEC-HMS model to determine Probable Maximum Flood elevation for the Laurel Run Reservoir located in St. Mary's, PA.</t>
  </si>
  <si>
    <t>https://gdurl.com/48IC</t>
  </si>
  <si>
    <t>HEC-HMS,ArcGIS Pro</t>
  </si>
  <si>
    <t>Salt Run Dam PMF Study</t>
  </si>
  <si>
    <t>&lt;b&gt;Emporium Water Company&lt;/b&gt; - HEC-HMS Model</t>
  </si>
  <si>
    <t>Development of an HEC-HMS model to determine Probable Maximum Flood elevation for the Salt Run Reservoir located in Emporium, PA.</t>
  </si>
  <si>
    <t>https://gdurl.com/p-vz</t>
  </si>
  <si>
    <t>Hampton-Shaler Water Model</t>
  </si>
  <si>
    <t>&lt;b&gt;Hampton-Shaler Water Authority&lt;/b&gt; - Water Model Development</t>
  </si>
  <si>
    <t>Developed the Authority's first modern water distribution model in InfoWater Pro from available data including GIS, record drawings, staff knowledge and field work. Model consisted of 12 tanks, 4 booster stations a WTP and many interconnects. Planned system hydrant testing program to be used for pipe roughness calibration. Worked with operators and other staff to find and fix data gaps and develop model controls. The model was then utilized for preliminary planning of new distribution mains and booster stations as well as the evaluation of valve settings and tank performance.</t>
  </si>
  <si>
    <t>https://gdurl.com/fLa3</t>
  </si>
  <si>
    <t>ArcGIS Pro, InfoWater Pro</t>
  </si>
  <si>
    <t>Moon Water Model</t>
  </si>
  <si>
    <t>&lt;b&gt;Moon Township Municipal Authority&lt;/b&gt; - Development of Water Model</t>
  </si>
  <si>
    <t>Using a legacy model, GIS data and other records, built and calibrated a InfoWater Pro model from the ground up for use in future maintenance and upgrade plans. Model consisted of 6 tanks and a WTP. Established a 1:1 model to GIS update path that kept changes to the model and the GIS in sync.</t>
  </si>
  <si>
    <t>https://gdurl.com/fz20</t>
  </si>
  <si>
    <t>GGSA GIS System Map and Survey</t>
  </si>
  <si>
    <t>&lt;b&gt;Greater Greensburg Sewage Authority&lt;/b&gt; - Using ArcGIS Online and Collector</t>
  </si>
  <si>
    <t>Georeferencing old paper maps into a GIS system map, configuration of GIS databases for using in ArcGIS Online. Lead the acquisition of new equipment to utilize ArcGIS Online and the Collector app for high accuracy GNSS survey. Developed Dashboard to track survey crews progress in real-time.</t>
  </si>
  <si>
    <t>https://gdurl.com/S0ru</t>
  </si>
  <si>
    <t>ArcGIS Pro, ArcGIS Online, ArcGIS Collector, Trimble R2, ArcGIS Dashboards</t>
  </si>
  <si>
    <t>Smith Township GIS Mapping Program</t>
  </si>
  <si>
    <t>&lt;b&gt;Smith Township&lt;/b&gt; - Stormwater, Signage, and Infrastructure GIS Program Development</t>
  </si>
  <si>
    <t>Assisted Smith Township in the selection and purchase of a Trimble R2 GNSS receiver and tablet. Setup ArcGIS Online and feature services to collect and store stormwater, signage, and utility pole locations and information that were owned by the Township. Conducted training and assisted in initial collection.</t>
  </si>
  <si>
    <t>https://gdurl.com/EIkr</t>
  </si>
  <si>
    <t>ArcGIS Online, ArcGIS Pro, ArcGIS Collector, ArcGIS Field Maps, Quick Capture, Trimble R2, ArcGIS Dashboards</t>
  </si>
  <si>
    <t>South Strabane Gas Well Mapping</t>
  </si>
  <si>
    <t>&lt;b&gt;Township of South Strabane&lt;/b&gt; - Mapping of Gas Wells in the Township</t>
  </si>
  <si>
    <t>Utilized publically available permits for gas wells in and around the township to map all gas well heads and laterals in and around the township. This information was used to communicate to the public and discuss changes to ordinances. An ESRI story map was developed to best communicate the findings in an organized manner.</t>
  </si>
  <si>
    <t>https://gdurl.com/zAnD</t>
  </si>
  <si>
    <t>ArcGIS Online, ArcGIS Pro, ArcGIS Story Maps</t>
  </si>
  <si>
    <t>Zoning Map</t>
  </si>
  <si>
    <t>&lt;b&gt;Township of South Strabane&lt;/b&gt; - ArcGIS Online Mapping</t>
  </si>
  <si>
    <t>Creation of zoning map using old paper maps. Migration to ArcGIS Online for publishing of public facing zoning application. Also created a Survey123 Zoning Violation tool for the Township to replace existing paper processes.</t>
  </si>
  <si>
    <t>https://gdurl.com/RNRI</t>
  </si>
  <si>
    <t>ArcGIS Pro, ArcGIS Online, Survey123, ArcGIS Dashboards</t>
  </si>
  <si>
    <t>System Mapping Updates</t>
  </si>
  <si>
    <t>&lt;b&gt;Findlay Township Municipal Authority&lt;/b&gt; ArcGIS Online Migration</t>
  </si>
  <si>
    <t>Update of System sewer and water mapping. Migration to ArcGIS Online.</t>
  </si>
  <si>
    <t>https://gdurl.com/XldV</t>
  </si>
  <si>
    <t>ArcGIS Pro, ArcGIS Online, ArcGIS Collector, ArcGIS Dashboards</t>
  </si>
  <si>
    <t>Mansfield Road Storm Sewer Improvements</t>
  </si>
  <si>
    <t>&lt;b&gt;Elizabeth Township&lt;/b&gt; - H&amp;H Analysis</t>
  </si>
  <si>
    <t>Completed H&amp;H report for the enclosure of a stream along Mansfield Road and the effect on neighboring properties and stream conditions.</t>
  </si>
  <si>
    <t>https://gdurl.com/uRrh</t>
  </si>
  <si>
    <t>HEC-RAS, Bentley FlowMaster</t>
  </si>
  <si>
    <t>Interceptor System Hydraulic Modeling</t>
  </si>
  <si>
    <t>&lt;b&gt;Canonsburg-Houston Joint Authority&lt;/b&gt; - H&amp;H modeling of Interceptor for Multi-Community Authority</t>
  </si>
  <si>
    <t>Completed H&amp;H modeling of the Chartiers and Brush Run Interceptor and accompanying pump stations. Flow data from 20 meters was used to calibrate the model and divide sewer flows by community.</t>
  </si>
  <si>
    <t>https://gdurl.com/I9zP</t>
  </si>
  <si>
    <t>ArcGIS Desktop,InfoSWMM, SSOAP</t>
  </si>
  <si>
    <t>Zoning Map Updates</t>
  </si>
  <si>
    <t>&lt;b&gt;Rostraver Township&lt;b&gt;</t>
  </si>
  <si>
    <t>Creation of a Zoning map using a decades old paper map and updating by review or ordinances.</t>
  </si>
  <si>
    <t>https://gdurl.com/eMrU</t>
  </si>
  <si>
    <t>ArcGIS Pro</t>
  </si>
  <si>
    <t>Water System Master Plan Update</t>
  </si>
  <si>
    <t>&lt;b&gt;Municipal Authority of the Township of Richland&lt;/b&gt; - Water Modeling</t>
  </si>
  <si>
    <t>Converted an existing WaterCAD model to an InfoWater model including updating and adding new areas of the system. System comprised of 2 tanks and a booster station and several interconnects. Planned and performed hydrant testing and applied results to model calibration. Compiled a Master Plan summarizing system deficiencies using model extended period runs and hydrant fire flow testing.</t>
  </si>
  <si>
    <t>https://gdurl.com/xDNX</t>
  </si>
  <si>
    <t>ArcGIS Desktop, InfoWater, Hydrant Testing, InfoWater Pro, ArcGIS Pro</t>
  </si>
  <si>
    <t>Vita Dump Site</t>
  </si>
  <si>
    <t>&lt;b&gt;Hampton-Shaler Water Authority&lt;/b&gt;</t>
  </si>
  <si>
    <t>H&amp;H study of waste disposal site to determine H&amp;H effect on streams and neighboring properties.</t>
  </si>
  <si>
    <t>https://gdurl.com/BNRq</t>
  </si>
  <si>
    <t>System Water Model</t>
  </si>
  <si>
    <t>&lt;b&gt;Findlay Township Municipal Authority&lt;/b&gt; Complete Water Model and Calibration</t>
  </si>
  <si>
    <t>Used existing GIS and As-built data to build and calibrate a water model for use by the Authority in design and planning. InfoWater Pro model consisted of 2 tanks, 2 booster stations, and several interconnects. Performed Hydrant flow testing to obtain pressure calibration points and pipe roughness values. Used the calibrated model in planning for system expansion and to support bottling operations and significant commercial development. Completed fire flow simulations and alternatives analysis for new tanks and booster pumps.</t>
  </si>
  <si>
    <t>https://gdurl.com/zjRZ</t>
  </si>
  <si>
    <t>ArcGIS Desktop,InfoWater, Hydrant Testing</t>
  </si>
  <si>
    <t>System Masterplan</t>
  </si>
  <si>
    <t>&lt;b&gt;Washington-East Washington Joint Authority&lt;/b&gt; - ArcGIS Online System Map</t>
  </si>
  <si>
    <t>Built system map for WEWJA using hundreds of As-built drawings. Combined data into an online webmap for use by the Authority from any device. Assisted in selection and purchase of GNSS equipment and setup and trained staff for field data collection.</t>
  </si>
  <si>
    <t>https://gdurl.com/TlLS</t>
  </si>
  <si>
    <t>ArcGIS Pro, ArcGIS Online, ArcGIS Dashboards, ArcGIS Collector, Trimble TDC150</t>
  </si>
  <si>
    <t>&lt;b&gt;Erie Water Works&lt;/b&gt; - Master Plan Update after Acquisition</t>
  </si>
  <si>
    <t xml:space="preserve">Completed InfoWater model update and expansion after the acquisition of Millcreek Township Water Authority. This included the addition of 9 pump stations and 5 water tanks.  Calibrated the new model, and provided model results in support of a revised Master Plan. </t>
  </si>
  <si>
    <t>https://gdurl.com/W0O2</t>
  </si>
  <si>
    <t>InfoWater</t>
  </si>
  <si>
    <t>CSO Regulator No. 1 Evaluation</t>
  </si>
  <si>
    <t>&lt;b&gt;Glassport Borough&lt;/b&gt; - H&amp;H Modeling of Complex Combined Sewer System</t>
  </si>
  <si>
    <t>After a failure of a CSO structure, an H&amp;H study was completed to evaluate options for a permanent  design of a new regulator and outfall structure. This model had multiple interconnected systems and regulators that had to be modeled.</t>
  </si>
  <si>
    <t>https://gdurl.com/lEiI</t>
  </si>
  <si>
    <t>InfoSWMM, SSOAP, ArcGIS Desktop</t>
  </si>
  <si>
    <t>System Map</t>
  </si>
  <si>
    <t>&lt;b&gt;Rostraver Township Sewage Authority&lt;/b&gt;</t>
  </si>
  <si>
    <t>Creation of System Map utilizing As-Built drawings. Migration to ArcGIS Online platform</t>
  </si>
  <si>
    <t>https://gdurl.com/wkV9</t>
  </si>
  <si>
    <t>ArcGIS Pro, ArcGIS Online</t>
  </si>
  <si>
    <t>Corrective Action Plan Engineering Evaluation</t>
  </si>
  <si>
    <t>&lt;b&gt;Prospect Borough&lt;/b&gt; - H&amp;H Modeling of Pump Station and Interceptor</t>
  </si>
  <si>
    <t>Calibrated H&amp;H Model consisting of 5 flow monitors, pump station, forcemain, and interceptor to assist in the development of a Corrective Action Plan</t>
  </si>
  <si>
    <t>https://gdurl.com/LiOu</t>
  </si>
  <si>
    <t>System Mapping and Collection Program</t>
  </si>
  <si>
    <t>&lt;b&gt;Municipal Authority of the Township of Richland&lt;/b&gt; - ArcGIS Mapping</t>
  </si>
  <si>
    <t>Update of System map. Worked with Precision Laser to setup a collection program using Terraflex and an R2 unit. Eventual transition to Collector app and ArcGIS Online.</t>
  </si>
  <si>
    <t>https://gdurl.com/ouc3</t>
  </si>
  <si>
    <t>ArcGIS Desktop, ArcGIS Online, TerraFlex, ArcGIS Collector, Trimble R2</t>
  </si>
  <si>
    <t>Water System Mapbooks</t>
  </si>
  <si>
    <t>&lt;b&gt;Borough of Sewickley Water Authority&lt;/b&gt; - Development of Truck Maps</t>
  </si>
  <si>
    <t>Updated GIS database using As-builts and constructed truck maps.</t>
  </si>
  <si>
    <t>https://gdurl.com/3M6k</t>
  </si>
  <si>
    <t>ArcGIS Desktop</t>
  </si>
  <si>
    <t>Glannons Pump Station</t>
  </si>
  <si>
    <t>&lt;b&gt;Hampton Township&lt;/b&gt; - H&amp;H Model for a Small Pump Station</t>
  </si>
  <si>
    <t>Assisted the design team by creating a calibrated H&amp;H model to determine design flows for a new pump station</t>
  </si>
  <si>
    <t>&lt;b&gt;Authority of the Borough of Charleroi&lt;/b&gt;</t>
  </si>
  <si>
    <t>Update of Sewer and Water system mapping and migration and setup of ArcGIS Online platform to increase utilization of mapping in the field. Updates were made based on survey data.</t>
  </si>
  <si>
    <t>https://gdurl.com/EA5F</t>
  </si>
  <si>
    <t>ArcGIS Desktop, ArcGIS Online</t>
  </si>
  <si>
    <t>Peebles Road Pump Station</t>
  </si>
  <si>
    <t>&lt;b&gt;McCandless Township Sanitary Authority&lt;b&gt; - H&amp;H Model for a Pump Station</t>
  </si>
  <si>
    <t>https://gdurl.com/6qWP</t>
  </si>
  <si>
    <t>Admin and Personnel Building Stormwater Design And Permitting</t>
  </si>
  <si>
    <t>&lt;b&gt;North Huntingdon Township Municipal Authority&lt;/b&gt; - Bioretention Areas and Swale Design for New Buildings and Permitting</t>
  </si>
  <si>
    <t>Working with the building design team, I completed H&amp;H calculations and design of two bioretention areas and tributary swale to treat stormwater runoff and meet pear rate and volume requirement for the NPDES permit which I completed.</t>
  </si>
  <si>
    <t>https://gdurl.com/jxL2</t>
  </si>
  <si>
    <t>Hydrologic &amp; Hydraulic Modeling, Permitting</t>
  </si>
  <si>
    <t>Civil3D, ArcGIS Desktop, HydroCAD</t>
  </si>
  <si>
    <t>System Mapping and GPS Collection Program</t>
  </si>
  <si>
    <t>&lt;b&gt;Economy Borough Municipal Authority&lt;/b&gt; - ArcGIS Online Setup and Collection Program</t>
  </si>
  <si>
    <t>Migrated GIS data form GeoPlan to ArcGIS Online. Development of a GPS collection program using ArcGIS Online Dashboards, and the Collector app to enable centimeter accuracy data collection of system manholes.</t>
  </si>
  <si>
    <t>https://gdurl.com/98F7</t>
  </si>
  <si>
    <t>ArcGIS Pro, ArcGIS Online, ArcGIS Collector, Trimble R2</t>
  </si>
  <si>
    <t>Post Construction System Model</t>
  </si>
  <si>
    <t>&lt;b&gt;Kiski Valley Water Pollution Control Authority&lt;/b&gt; - H&amp;H Model of Multi-Community Sewer System</t>
  </si>
  <si>
    <t>To come into compliance with PA DEP, KVWPCA communities completed sewer separation projects and plant upgrades. To establish new rates and determine flow values, I completed a Post Construction H&amp;H model using 6 months of flow data from 75 flow meters. The model was modified and calibrated to best model the current flow conditions which were used to establish new rates.</t>
  </si>
  <si>
    <t>https://gdurl.com/DkNb</t>
  </si>
  <si>
    <t>ArcGIS Desktop, InfoSWMM, SSOAP</t>
  </si>
  <si>
    <t>&lt;b&gt;West Mifflin Sanitary Sewer Municipal Authority&lt;/b&gt; - ArcGIS Online Migration</t>
  </si>
  <si>
    <t>Migration of System GIS Maps to ArcGIS Online</t>
  </si>
  <si>
    <t>https://gdurl.com/oonw</t>
  </si>
  <si>
    <t>Camp Meeting Road Pump Station</t>
  </si>
  <si>
    <t>&lt;b&gt;Findlay Township Municipal Authority&lt;/b&gt; - NPDES Permitting for new PS and sewers</t>
  </si>
  <si>
    <t>Worked on E&amp;S and PCSM design and permitting for a new pump station and sewer system for FTMA.</t>
  </si>
  <si>
    <t>https://gdurl.com/8k3V</t>
  </si>
  <si>
    <t>Erosion &amp; Sedimentation Control, Permitting, Stormwater Design</t>
  </si>
  <si>
    <t>AutoCAD</t>
  </si>
  <si>
    <t>ALCOSAN GROW Round 2 Grants</t>
  </si>
  <si>
    <t>&lt;b&gt;Borough of Carnegie&lt;/b&gt; - Stormwater Source Reduction Grant Application</t>
  </si>
  <si>
    <t>For the second round of ALCOSAN GROW grants, I successfully submitted reimbursement and new separation projects for over $1 million.</t>
  </si>
  <si>
    <t>Hydrologic &amp; Hydraulic Modeling, Grant Application, GIS</t>
  </si>
  <si>
    <t>ArcGIS Desktop, InfoSWMM</t>
  </si>
  <si>
    <t>MS4 Programs</t>
  </si>
  <si>
    <t>&lt;b&gt;Various Clients&lt;/b&gt; - Working on MS4 programs and permitting for seven clients</t>
  </si>
  <si>
    <t>I completed new MS4 permits for several clients including development of MS4 mapping and Pollution Reduction Plans and helped to establish MS4 programs.</t>
  </si>
  <si>
    <t>Permitting, GIS</t>
  </si>
  <si>
    <t>ALCOSAN GROW Round 1 Grants</t>
  </si>
  <si>
    <t>Successfully submitted GROW grant applications for green source reduction projects for Carnegie Borough totaling nearly $200,000.</t>
  </si>
  <si>
    <t>CSO Program Phase 1 Design</t>
  </si>
  <si>
    <t>&lt;b&gt;Authority of the Borough of Charleroi&lt;/b&gt; - NPDES Permitting for new Pump Stations and sewers</t>
  </si>
  <si>
    <t>I completed E&amp;S and PCSM design and permitting for two pump stations and accompanying forcemains as part of the Phase 1 CSO program for ABC.</t>
  </si>
  <si>
    <t>Wilshire Drive Culvert Replacement</t>
  </si>
  <si>
    <t>&lt;b&gt;North Huntingdon Township&lt;/b&gt; - Design and GP-11 Permitting for Culvert replacement</t>
  </si>
  <si>
    <t>I completed design and permitting for a small culvert replacement for NHTMA.</t>
  </si>
  <si>
    <t>Power Plant Siting Certificate</t>
  </si>
  <si>
    <t>West Virginia Siting Certificate for new Power Plant</t>
  </si>
  <si>
    <t>As a team member on a project to prepare a sitting certificate for a new power plant I aggregated GIS data and prepared numerous exhibits to show surrounding impact, helped construct a 3D model of the plant and analyzed viewshed impacts and helped prepare various other exhibits.</t>
  </si>
  <si>
    <t>Project Consultant</t>
  </si>
  <si>
    <t>http://gdurl.com/xT-w</t>
  </si>
  <si>
    <t>Land Development, Permitting</t>
  </si>
  <si>
    <t>AutoCAD, ArcGIS Desktop,Microsoft Project, Infraworks</t>
  </si>
  <si>
    <t>Civil &amp; Environmental Consultants</t>
  </si>
  <si>
    <t>Forbes Avenue Apartments</t>
  </si>
  <si>
    <t>&lt;b&gt;Campus Advantage&lt;/b&gt; - New Apartment building in Oakland</t>
  </si>
  <si>
    <t>Coordinating Utilities and Permitting such as Tap-In and Tap-Termination plans.</t>
  </si>
  <si>
    <t>http://gdurl.com/g5QH</t>
  </si>
  <si>
    <t>CEC Go Development</t>
  </si>
  <si>
    <t>&lt;b&gt; Civil &amp; Environmental Consultants, Inc.&lt;/b&gt; - Client facing site intelligence and planning tools</t>
  </si>
  <si>
    <t xml:space="preserve">Working with a small team, I helped to develop the technical aspects of a new initiative to provide clients with new tools to evaluate sites and concepts. Using available applications, we streamlined providing online GIS maps, evaluated 3D modeling and presentation tools, and conceptualized project Dashboards that will provide one-point access to clients. </t>
  </si>
  <si>
    <t>http://gdurl.com/BIql</t>
  </si>
  <si>
    <t>GIS, Land Development, Tool Development</t>
  </si>
  <si>
    <t>ArcGIS Desktop, ArcGIS Online, Augment, Infraworks, Sketchup</t>
  </si>
  <si>
    <t>Emerald on Centre</t>
  </si>
  <si>
    <t>&lt;b&gt;Oxford Development Company&lt;/b&gt; - New apartment building in East Liberty</t>
  </si>
  <si>
    <t>Coordinating Utilities, Permitting such as Tap-In and Tap-Termination plans, Sewage Facilities Planning Module, and Department of Public Works approval drawings.</t>
  </si>
  <si>
    <t>http://gdurl.com/HQfs</t>
  </si>
  <si>
    <t>GIS Hydrology Intersection Tool</t>
  </si>
  <si>
    <t>&lt;b&gt; Civil &amp; Environmental Consultants, Inc.&lt;/b&gt; - Python applied to hydrology analysis</t>
  </si>
  <si>
    <t>Automated the process of determining hydrologic routing landcover areas. The tool is written in Python and can be used within ArcGIS to intersect several layers and produce a table of areas that can be used in hydrologic calculations. This tool can turn several hours or days of work into just a few minutes and it keeps calculations organized and repeatable for frequently changing designs</t>
  </si>
  <si>
    <t>http://gdurl.com/QdDi</t>
  </si>
  <si>
    <t>GIS, Coding, Tool Development</t>
  </si>
  <si>
    <t>ArcGIS Desktop, Python</t>
  </si>
  <si>
    <t>The Bible Chapel</t>
  </si>
  <si>
    <t>&lt;b&gt;The Bible Chapel&lt;/b&gt; - Worship center in Collier Township</t>
  </si>
  <si>
    <t>As part of &lt;b&gt;The Bible Chapel&lt;/b&gt;'s new worship center project, I assisted in site layout and preliminary grading of the site. I also helped prepare the Land Development submission, coordinated with utility companies, drafted the Highway Occupancy Permits and Sewage Facilities Planning Module.</t>
  </si>
  <si>
    <t>http://gdurl.com/jTBT</t>
  </si>
  <si>
    <t>Land Development, Grading, Erosion &amp; Sedimentation Control, Permitting</t>
  </si>
  <si>
    <t>AutoCAD, Civil3D</t>
  </si>
  <si>
    <t>The Empire</t>
  </si>
  <si>
    <t>&lt;b&gt;Park7 Group&lt;/b&gt; - New 17-story apartment building in North Oakland</t>
  </si>
  <si>
    <t>This project for the &lt;b&gt;Park7 Group&lt;/b&gt; consisted of civil site work for a new 17-story apartment building. I worked with utility companies, the architect and general contractor to determine site utility connections and prepared a stormwater design to capture runoff. I also helped to prepare various permit submissions and communicated weekly with the design team.</t>
  </si>
  <si>
    <t>http://gdurl.com/eI-A</t>
  </si>
  <si>
    <t>Land Development, Permitting, Stormwater Design</t>
  </si>
  <si>
    <t>AutoCAD, ArcGIS Desktop, HydroCAD</t>
  </si>
  <si>
    <t>Oakland Avenue Commercial Development</t>
  </si>
  <si>
    <t>&lt;b&gt;Indy Apple, LLC&lt;/b&gt; - Two restaurants and a hotel in White Township</t>
  </si>
  <si>
    <t>As part of land development for &lt;b&gt;Indy-Apple, LLC&lt;/b&gt;, I worked with project managers and other team members to layout a site plan for two restaurants and a hotel along Oakland Avenue. I assisted in drafting a land development package, running stormwater calculations, submitting various permitting packages including NPDES and I coordinated with utility companies and other permitting entities.</t>
  </si>
  <si>
    <t>http://gdurl.com/Y6B1</t>
  </si>
  <si>
    <t>Land Development, Grading, Erosion &amp; Sedimentation Control, Permitting, Stormwater Design</t>
  </si>
  <si>
    <t>AutoCAD, Civil3D, HydroCAD, Hydraflow</t>
  </si>
  <si>
    <t>Greenville Stormwater GIS</t>
  </si>
  <si>
    <t>&lt;b&gt;Greenville Sanitary Authority&lt;/b&gt; - Stormwater facilities GIS mapbook</t>
  </si>
  <si>
    <t>&lt;b&gt;Greenville Sanitary Authority&lt;/b&gt; wanted a complete catalog of their storm sewer infrastructure. To help deliver this, I generated mapbooks for their municipality that our survey crews used to GPS all catch basins, manholes and sewers. After the survey was complete, I assembled the data into a database that could be used by the Authority to track the status of their infrastructure, such as which catch basins needed to be cleaned. The deliverable was a set of detailed maps showing all relevant elevations and sizes of their storm infrastructure.</t>
  </si>
  <si>
    <t>Project Engineer</t>
  </si>
  <si>
    <t>http://gdurl.com/9kmU</t>
  </si>
  <si>
    <t>Order Entry System</t>
  </si>
  <si>
    <t>&lt;b&gt;KLH Engineers, Inc.&lt;/b&gt; - Automating Order Entry Submissions</t>
  </si>
  <si>
    <t>The existing Order Entry system to start new projects consisted of paper forms being filled out by hand and delivered to various personnel by hand or via email with multiple copies. To organize this process I utilized Google Forms and Javascript to build an online Order Entry system. New jobs could be opened, assigned project numbers and engineers from any device with an internet connect. Emails and PDF were automatically generated and a master tracking spreadsheet was appended so that all open project could be reviewed in monthly meetings.</t>
  </si>
  <si>
    <t>http://gdurl.com/b_nN</t>
  </si>
  <si>
    <t>Coding, Tool Development</t>
  </si>
  <si>
    <t>Javascript,Google Drive, Google Forms</t>
  </si>
  <si>
    <t>Company Intranet</t>
  </si>
  <si>
    <t>&lt;b&gt;KLH Engineers, Inc.&lt;/b&gt; - Starting a company Intranet from scratch</t>
  </si>
  <si>
    <t>&lt;b&gt;KLH Engineers&lt;/b&gt; had been exploring the idea of an intranet to facilitate some basic business information and practices. After many meetings discussing Enterprise options, I build a simple yet functional intranet using a Google Site. Employees could see a company calendar, open new Order Entries, find project numbers, contact info, and client information, and use other tools like GIS maps and a company directory to be productive.</t>
  </si>
  <si>
    <t>http://gdurl.com/5Vro</t>
  </si>
  <si>
    <t>Google Sites, Google Drive, Javascript, ArcGIS Online</t>
  </si>
  <si>
    <t>Allegheny Valley GIS and Flow Monitoring Plan</t>
  </si>
  <si>
    <t>&lt;b&gt;Allegheny Valley Joint Sewage Authority&lt;/b&gt; - Building GIS framework</t>
  </si>
  <si>
    <t>&lt;b&gt;Allegheny Valley Joint Sewage Authority&lt;/b&gt; needed to quantify flows in its system as well as flows entering from neighboring communities. Using GIS I planned for surveys to be conducted of the system and then processed this survey data into a detail GIS for use in planning flow monitoring locations. Coordination with officials in neighboring communities was required to ensure all connections were accounted for.</t>
  </si>
  <si>
    <t>http://gdurl.com/Yady</t>
  </si>
  <si>
    <t>Peters DC Sewer Interceptor Model Validation</t>
  </si>
  <si>
    <t>&lt;b&gt;Peters Township Municipal Authority&lt;/b&gt; - Verifying a H&amp;H model</t>
  </si>
  <si>
    <t>The Authority's previous engineer had completed an H&amp;H model of the two main interceptors tributary to one of the wastewater treatment plants. After additional survey data collection, I corrected errors in the model and modeled possible scenarios for system augmentation including upsizing of sewers and bolting of manholes to prevent blowouts.</t>
  </si>
  <si>
    <t>http://gdurl.com/yWSGK</t>
  </si>
  <si>
    <t>Aleppo Sewer Map</t>
  </si>
  <si>
    <t>&lt;b&gt;Aleppo Township Authority&lt;/b. - GIS map from paper records and CAD drawings</t>
  </si>
  <si>
    <t>I scanned old paper maps and georeferenced them to State Plane coordinates along with old CAD files. I then created a GIS map with all the legacy information for use by the Authority to manage their assets.</t>
  </si>
  <si>
    <t>GIS Mapbook Reproduction</t>
  </si>
  <si>
    <t>&lt;b&gt;Shaler Municipal Authority&lt;/b&gt; - GIS mapbook creation</t>
  </si>
  <si>
    <t>&lt;b&gt;Shaler Municipal Authority&lt;/b&gt; was in possession of paper mapbooks of their sewer collection system that were used by their office and by field crews. Although they also had some of the GIS used to create these paper mapbooks, they were not able to print more when needed. To assist them, I obtained a page of their mapbook and built a one-to-one recreation that included some requested modifications including color coded pipe sizes. The deliverable was several sets of bound and laminated map books that their field crews could use to identify locations and connectivity of their system.</t>
  </si>
  <si>
    <t>http://gdurl.com/e-Sl</t>
  </si>
  <si>
    <t>Carnegie Flooding Hydraulic Investigation</t>
  </si>
  <si>
    <t>&lt;b&gt;Borough of Carnegie&lt;/b&gt;Flow Monitoring and H&amp;H Model</t>
  </si>
  <si>
    <t>Carnegie suffered a significant flood after a &gt;100 year storm that caused damage to streets and basements below Carnegie Park. Engineers worked to plan additional sewers system improvements to alleviate the flooding for 100 year storms. I coordinated flow monitoring at a key choke point and used the data to develop a H&amp;H model of the watershed and conveyance system. This aided in sizing additional sewers and determining alternative alignments and elevations of parallel sewers.</t>
  </si>
  <si>
    <t>InfoSWMM, ArcGIS Desktop</t>
  </si>
  <si>
    <t>Duquesne and Dravosburg Hydraulic Models</t>
  </si>
  <si>
    <t>&lt;b&gt;McKeesport Municipal Authority&lt;/b&gt; - H&amp;H model for permitting and planning</t>
  </si>
  <si>
    <t>&lt;b&gt;The City of McKeesport Municipal Authority&lt;/b&gt; acquired the treatment systems for Duquesne and Dravosburg. In order to complete a Long Term Control Plan for each system and an Act 537 report, KLH had to show that the system was capable of conveying all flows to treatment including 350% of peak dry flow. In addition, a H&amp;H model was needed to evaluate future plans for the two systems. Without high quality data, I coordinated a survey of the existing conveyance systems including field work to verify specific details. Using this data I build a GIS and used it to build an H&amp;H model for each system. I then evaluated each system to determine compliance with the requirements.</t>
  </si>
  <si>
    <t>http://gdurl.com/wFgN</t>
  </si>
  <si>
    <t>Erie Water Works Master Plan Exhibits</t>
  </si>
  <si>
    <t>&lt;b&gt;Erie Water Works&lt;/b&gt; - Analysis of population data and GIS exhibits</t>
  </si>
  <si>
    <t xml:space="preserve">Supported the development of a Erie Water Works Master Plan as part of the modeling team. The system was comprised of 11 booster stations, 14 tanks and reservoirs and 2 WTPs. Worked with Innovyze to develop a detailed InfoWater model. Assisted in calibration and utilized GIS tools to keep the model updated throughout the process.  Created extensive exhibits based on modeling results and planning to determine areas of growth in and around the county that could be served by EWW. </t>
  </si>
  <si>
    <t>http://gdurl.com/7gRG</t>
  </si>
  <si>
    <t>Mt. Lebanon Painter's Run Hydraulic Models</t>
  </si>
  <si>
    <t>&lt;b&gt;Gateway Engineers&lt;/b&gt; - H&amp;H model analyzed sewer upgrades</t>
  </si>
  <si>
    <t>&lt;b&gt;Gateway Engineers&lt;/b&gt; proposed a new sewer alignment and profile in Mt. Lebanon to decrease flooding issues. There was concern that increasing capacity of upstream segments would lead to flooding issues along main arteries further down the conveyance system. I processed flow data and integrated it into H&amp;H models to show how the hydraulic profile and capacity of the system changed with several different modifications to the alignment. A report made recommendations concerning the proposed construction.</t>
  </si>
  <si>
    <t>http://gdurl.com/93QY</t>
  </si>
  <si>
    <t>Youghiogheny WWTP Process Lift Station Model</t>
  </si>
  <si>
    <t>&lt;b&gt;North Huntingdon Township Municipal Authority&lt;/b&gt; - Quantifying flows using H&amp;H model and metered data</t>
  </si>
  <si>
    <t>&lt;b&gt;NHTMA&lt;/b&gt; was preparing to upgrade several pump stations and wanted to study the process lift station at the WWTP to determine if upsizing was needed to prevent flooding that was occurring in one of their main interceptors. Using previous flow monitoring data, I constructed an InfoSWMM model and calibrated it to be able to predict flows for large storms and future growth. This included modeling multiple pump stations and a large basin. I was able to recommend locations for additional flow monitoring to increase the usefulness of the model.</t>
  </si>
  <si>
    <t>Carnegie Overflow Regression Model</t>
  </si>
  <si>
    <t>&lt;b&gt;Borough of Carnegie&lt;/b&gt; - Overflow calculator using multiple linear regression</t>
  </si>
  <si>
    <t>As part of a NPDES permit, Carnegie is required to complete a Discharge Monitoring Reports (DMR) to report overflows from an outfall in their system. Instead of installing a permanent flow meter, we installed a temporary flow meter  and a rainmeter for several months of data collection. Using this data I built a multiple linear regression model to predict overflow volumes based on rainfall from public rain stations. The model was implemented into an Excel spreadsheet to allow rainfall data to be easily enters and predicted volumes calculated.</t>
  </si>
  <si>
    <t>http://gdurl.com/5tqp</t>
  </si>
  <si>
    <t>Excel</t>
  </si>
  <si>
    <t>Elizabeth Watershed Drainage Maps</t>
  </si>
  <si>
    <t>&lt;b&gt;Elizabeth Township&lt;/b&gt; - Small watershed delineation</t>
  </si>
  <si>
    <t>Although large watersheds that are more than a few acres are readily available. Small watersheds need delineated by hand. Using geoprocessing available in MapWindow, I authored dozens of exhibits showing small watersheds as calculated by software. These watersheds are produced in a few minutes and are almost always as accurate as hand delineated ones.</t>
  </si>
  <si>
    <t>MapWindow, ArcGIS Desktop</t>
  </si>
  <si>
    <t>Stoops Ferry Model</t>
  </si>
  <si>
    <t>&lt;b&gt;Moon Township Municipal Authority&lt;/b&gt; - H&amp;H model for planning</t>
  </si>
  <si>
    <t>The &lt;b&gt;Moon Township Municipal Authority&lt;/b&gt; requested assistance to quantify flooding and overflows at a pump station, capacity issues and sizing and locating potential equalization basins. Using the Authority's existing GIS information and scanned drawings, I constructed a H&amp;H model and calibrated to existing flow data that needed to be processed. The deliverable was a presentation showing the calibration of the model and identification of potential causes of flooding along with recommendations for upsizing and relining of pipes and potential equalization basin locations.</t>
  </si>
  <si>
    <t>http://gdurl.com/pDO9</t>
  </si>
  <si>
    <t>Frey Pump Station Model</t>
  </si>
  <si>
    <t>The &lt;b&gt;Moon Township Municipal Authority&lt;/b&gt; was experiencing flooding near one of its pump stations where the flows were not being conveyed to the pump station. I coordinated flow monitoring around the pump station and created an H&amp;H model to identify the problem areas in the system and make recommendations in order to convey storm flows to the pump station without overflows.</t>
  </si>
  <si>
    <t>Clairton Billing Meters</t>
  </si>
  <si>
    <t>&lt;b&gt;Clairton Municipal Authority&lt;/b&gt; - Evaluation of Billing Meter Vault Design</t>
  </si>
  <si>
    <t>New billing meters needed to be constructed along two main interceptors that collect sewage from neighboring municipalities. I helped to draft new vaults to contain Palmer-Bowlus flumes and determined the hydraulic parameters that needed to be met. I also helped to collect survey information for an existing vault located in a remote area.</t>
  </si>
  <si>
    <t>Hydrologic &amp; Hydraulic Modeling, Field Work</t>
  </si>
  <si>
    <t>Creswell Web GIS Proposal</t>
  </si>
  <si>
    <t>&lt;b&gt;Creswell Heights Joint Authority&lt;/b&gt; - Proposing an interactive web map to catalog assets</t>
  </si>
  <si>
    <t>The Authority was interested in better managing their water distribution infrastructure. They currently had to pull paper cards for each meter and valve to be serviced. I took an old water model and some CAD drawings and created a GIS using georeferencing. I then created an interactive online version that would allow anyone to pull up information on any valve, hydrant or meter based on location. We proposed further refining the GIS using GPS and data entry from their paper system.</t>
  </si>
  <si>
    <t>https://gdurl.com/GvK9</t>
  </si>
  <si>
    <t>Aleppo System Map Update</t>
  </si>
  <si>
    <t>&lt;b&gt;Aleppo Township&lt;/b&gt; - GIS map from paper records</t>
  </si>
  <si>
    <t xml:space="preserve">I used a combination of paper maps, shapefiles and CAD drawings to create a GIS of the water distribution system for Aleppo to facilitate their asset management. </t>
  </si>
  <si>
    <t>Clairton GIS - CCTV Integration</t>
  </si>
  <si>
    <t>&lt;b&gt;Clairton Municipal Authority&lt;/b&gt; - Interactive GIS for asset management</t>
  </si>
  <si>
    <t>&lt;b&gt;The Clairton Municipal Authority &lt;/b&gt;contracted with a pipe televising company to produce a city-wide database of pipe inspections of their combined sewer system. The deliverable was a hard drive containing hundreds of gigabytes of photos and video for each pipe in the system. Additionally, the inspections were conducted without a clear agreement of maps to be used to identifying structures and pipes. As a result the Authority had a huge amount of disorganized data that was difficult to access and extract actionable information from. To solve this, I obtained various paper and digital maps that were available and processed them into one GIS with clear and logical naming conventions. I then utilized commercial software to create geolocated features for each pipe defect that was recorded by the contractor. I then linked the CCTV photos and video the the actual inspection locations. The deliverable product was a free to use GIS map that the Authority could use to identify exactly where problems were located in their collection system and then view the inspection video without using additional software.</t>
  </si>
  <si>
    <t>http://gdurl.com/rHEa</t>
  </si>
  <si>
    <t>ArcGIS Desktop, Wincan</t>
  </si>
  <si>
    <t>Larimer Model</t>
  </si>
  <si>
    <t>NHTMA needed to model a gravity portion of their system using existing flow data in order to determine what lines needed upsized before the downstream WWTP upgrades were to be completed so that the connection to the wetwell and the capacity of the system was coordinated.</t>
  </si>
  <si>
    <t>Act 537 Maps using Python</t>
  </si>
  <si>
    <t>&lt;b&gt;KLH Engineers, Inc.&lt;/b&gt; - Automating map creation</t>
  </si>
  <si>
    <t>As a requirement of PA Act 537, several exhibits needed to be created regularly for submission to the PA DEP. These exhibits included data such as soil information and floodplain locations. In order to reduce the tediousness of assembling these exhibits, I programmed a Python script to run inside of ArcGIS to automate the process. To accomplish this, I created statewide datasets of relevant data. The process was reduced from a weeks worth of work for one submission to just a few minutes. The user needed to simply draw an area of interest and fill in some information and in one click, the required PDFs were generated.</t>
  </si>
  <si>
    <t>http://gdurl.com/Wpi3</t>
  </si>
  <si>
    <t>GIS, Tool Development</t>
  </si>
  <si>
    <t>Robinson Run Model</t>
  </si>
  <si>
    <t>&lt;b&gt;South Fayette Municipal Authority&lt;/b&gt; - Evaluating RTK parameters</t>
  </si>
  <si>
    <t>Helped the &lt;b&gt;South Fayette Municipal Authority&lt;/b&gt; to troubleshoot an existing H&amp;H model and determine RTK parameters for their catchment areas which entered a multi municipal interceptor. This helped to keep their share of the maintenance and upgrade costs of the shared system in line with what flow they were actually producing.</t>
  </si>
  <si>
    <t>EPASWMM, SSOAP</t>
  </si>
  <si>
    <t>Hampton Headworks Model</t>
  </si>
  <si>
    <t>&lt;b&gt;Hampton Township&lt;/b&gt; - H&amp;H Model to evaluate capacity</t>
  </si>
  <si>
    <t>Modeled a short system of sewer entering a WWTP in order to help size the headworks and determine any system issues.</t>
  </si>
  <si>
    <t>Flow Data Processing Script</t>
  </si>
  <si>
    <t>&lt;b&gt; KLH Engineers, Inc. &lt;/b&gt;- Flow Data Processing</t>
  </si>
  <si>
    <t>Flow data is used  for the calibration and validation of hydraulic models. This data requires processing to ensure uniformity and to prepare for use in several modeling applications such as SWMM and SSOAP. I wrote Excel VBA code to convert data between 5-,15-, and 60-minute data using averages and then format into various rain depth, flow, head, and velocity time series and to export csv files.</t>
  </si>
  <si>
    <t>http://gdurl.com/7dMV</t>
  </si>
  <si>
    <t>Coding, Tool Development, Hydrologic &amp; Hydraulic Modeling</t>
  </si>
  <si>
    <t>VBA, Excel</t>
  </si>
  <si>
    <t>Environmental Fluid Mechanics Laboratory</t>
  </si>
  <si>
    <t>&lt;b&gt;Earth Processes &amp; Environmental Flows Group&lt;/b&gt; - Construction of new lab</t>
  </si>
  <si>
    <t>Planned and coordinated a new &lt;b&gt;&lt;a href="http://www.engineering.pitt.edu/Sub-Sites/Labs/EFML/Hydraulic-Flumes/"&gt; Environmental Fluid Mechanics Laboratory&lt;/a&gt;&lt;/b&gt; that included four large flumes and several small exhibits. I worked with several other members of the research group to rehabilitate an old flume that was previously in storage. We also worked on building an intermediate sized flume and planned and constructed a small flume including channel design, plumbing, pump selection,electrical coordination, and a sediment collection system.</t>
  </si>
  <si>
    <t>Research Assistant</t>
  </si>
  <si>
    <t>http://gdurl.com/p5LQ</t>
  </si>
  <si>
    <t>Research, Construction, Hydrologic &amp; Hydraulic Modeling</t>
  </si>
  <si>
    <t>Flumes, Vectrino, Laser Depth Gauge, Sketchup</t>
  </si>
  <si>
    <t>Earth Processes &amp; Environmental Flows Group</t>
  </si>
  <si>
    <t>Tree Roots and Shear Stress Investigation</t>
  </si>
  <si>
    <t>&lt;b&gt;University of Pittsburgh&lt;/b&gt; - Effect of roots on bank erosion</t>
  </si>
  <si>
    <t>Stream channel development in forested areas is profoundly influenced by large organic debris with enters the stream after erosion during high flow events. While it is well documented that increased density of roots in stream banks can increase the strength of the bank, the hydraulic process that arise from rootwads along stream banks is less well understood. This project sought to better understand the effect on shear stress that complicated flow cross sections present. To study this, LIDAR scanning of streambanks and modeling of flows around rootwads was conducted.</t>
  </si>
  <si>
    <t>Graduate Student</t>
  </si>
  <si>
    <t>http://gdurl.com/q1ds</t>
  </si>
  <si>
    <t>Research, Field Work, Hydrologic &amp; Hydraulic Modeling</t>
  </si>
  <si>
    <t>LIDAR, TecPlot, Geomagic, Meshlab</t>
  </si>
  <si>
    <t>Tipon Channel Physical Model</t>
  </si>
  <si>
    <t>&lt;b&gt; University of Pittsburgh&lt;/b&gt; - Investigating Incan hydraulic channels</t>
  </si>
  <si>
    <t>The Tipon channels in Peru demonstrate an understanding of hydraulic principles by the Inca civilization. Irrigation channels were built to convey water down steep gradients without allowing flows to transition from supercritical to subcritical flow. When that transition occurs, hydraulic jumps can be found. Understanding and managing this transition can reduce hydraulic jumps and reduce damage to your channel. As part of a group, I helped to build a computer model of a channel that achieved the same effect and then I planned and built a flume that let us compare the effect of energy dissipation from different surface roughnesses.</t>
  </si>
  <si>
    <t>http://gdurl.com/EX4g</t>
  </si>
  <si>
    <t>Flumes, Sketchup</t>
  </si>
  <si>
    <t>Independent</t>
  </si>
  <si>
    <t>Pool-Riffle Shear Stress Models</t>
  </si>
  <si>
    <t>&lt;b&gt;University of Pittsburgh&lt;/b&gt; - Comparing models of self-maintaining stream structures</t>
  </si>
  <si>
    <t>Pool-Riffle stream structures can be found in nature and can demonstrate self-maintaining qualities by alternating high and low flows and then reversing flow regimes during high flow events. Modeling of these structures is typically done using one-dimensional models such as HEC-RAS. However, the reversal mechanism may not be found when a two-dimensional model is used. I compared a HEC-RAS and River2D model for several geometries and flow regimes to demonstrate the need to model these structures using more complex models. This paper was recognized at the 2011 World Environmental &amp; Water Resources Congress for coming in 1st place for the student competition.</t>
  </si>
  <si>
    <t>Undergraduate Student</t>
  </si>
  <si>
    <t>http://gdurl.com/XghY</t>
  </si>
  <si>
    <t>Research, Hydrologic &amp; Hydraulic Modeling</t>
  </si>
  <si>
    <t>HEC-RAS, River 2D, C++</t>
  </si>
  <si>
    <t>Civil Department Webmaster</t>
  </si>
  <si>
    <t>&lt;b&gt;University of Pittsburgh&lt;/b&gt; - Maintaining Department website</t>
  </si>
  <si>
    <t>Worked with faculty to maintain the entire Civil &amp; Environmental Engineering webpage including keeping forms up to date, adding new web pages and helping professors update their personal pages.</t>
  </si>
  <si>
    <t>http://gdurl.com/VFnX</t>
  </si>
  <si>
    <t>HTML</t>
  </si>
  <si>
    <t>University of Pittsburgh</t>
  </si>
  <si>
    <t>Allegheny National Forest Gas Survey</t>
  </si>
  <si>
    <t>&lt;b&gt;N.E.T.L.&lt;/b&gt; - Surveying the national forest for methane and hydrocarbon levels</t>
  </si>
  <si>
    <t>NETL was to deploy a new mobile air quality monitoring trailer. Testing of this trailer was proposed to be in the Allegheny National Forest which is dense with oil and gas wells. Utilizing a Leak Detection System, the team planned an efficient route to drive throughout and around the forest to detect methane and hydrocarbons from leaking wells. We identified several areas with significant levels of methane detected and presented our findings to staff.</t>
  </si>
  <si>
    <t>Intern</t>
  </si>
  <si>
    <t>http://gdurl.com/1KzT</t>
  </si>
  <si>
    <t>Research, GIS, Field Work</t>
  </si>
  <si>
    <t>ArcGIS Desktop, ArcPad, Leak Detection System</t>
  </si>
  <si>
    <t>National Energy Technology Lab</t>
  </si>
  <si>
    <t>&lt;style&gt;</t>
  </si>
  <si>
    <t>&lt;script&gt;</t>
  </si>
  <si>
    <t>${"Name"} ${"Details"} ${"Description"} ${"Category"} ${"Skills"} ${"Company"}</t>
  </si>
  <si>
    <t xml:space="preserve">&lt;div onclick="popDiv(this);"&gt;
  &lt;div class="content-container" onclick="cancelClick(event, this)"&gt;
    &lt;div onclick="closePopUp(this);" class="closePopup"&gt;
    &lt;img src="https://sites.google.com/a/revevol.eu/images-base/cross.png"/&gt;
    &lt;/div&gt;
    &lt;div style="text-align:center;"&gt;&lt;img class="Big-Img" src="${"Big Img"}"/&gt;&lt;/div&gt;
    &lt;div class="container"&gt;
&lt;div class="info"&gt;&lt;div class="button-container"&gt;        
&lt;div class="availability" data-availability="${"Availability"}" data-available="no"&gt;Not available&lt;/div&gt;
&lt;/div&gt;
        &lt;span class="name"&gt;
          ${"Name"}
        &lt;/span&gt;
&lt;br&gt;&lt;br&gt;
&lt;span class="details"&gt;${"Details"}&lt;/span&gt;
&lt;span class="Date"&gt;${"Date"}&lt;/span&gt;
&lt;span class="Role"&gt;${"Role"}&lt;/span&gt;
&lt;br&gt;
&lt;div class="description"&gt;${"Description"}&lt;/div&gt;
&lt;div class="Category"&gt;${"Category"}&lt;/div&gt;&lt;br&gt;
&lt;div class="Tools"&gt;   ${"Skills"}&lt;/div&gt;
&lt;/div&gt;
&lt;/div&gt;
&lt;/div&gt;
&lt;/div&gt;
</t>
  </si>
  <si>
    <t>/*** CSS related to the content displayed***/
@import url(http://fonts.googleapis.com/css?family=Roboto);
body, td, div, span, p, h1 {
  font-family:'Roboto', sans-serif!important;
}
.card:not(.card-padding) {
cursor:pointer;
}
.container {
        text-align:left;
}
.Category {
font-size: 12px;
  margin: 0px 0px!important;
  text-transform: uppercase;
  text-decoration: none;
  font-weight: bold;
  color: #333;
  padding-right: 0px;
  padding-top: 1px;
  font-style: normal;
  display:inline-block
}
.description {
font-size: 14px;
line-height: 18px;
color: #333;
margin:15px 0px 5px 0px!important;
text-align:justify;
max-width:800px;
display:none;
}
.role {
font-size: 14px;
line-height: 18px;
color: #333;
margin:15px 0px 5px 0px!important;
text-align:justify;
max-width:800px;
display:none;
}
.tools {
font-size: 12px;
line-height: 18px;
color: #333;
margin:15px 0px 5px 0px!important;
text-align:justify;
max-width:800px;
display:none;
}
.name {
font-size: 15px;
  margin: 0px 0px!important;
  text-transform: uppercase;
  text-decoration: none;
  font-weight: bold;
  color: rgb(255, 51, 51);
  padding-right: 0px;
  padding-top: 1px;
  font-style: normal;
  display:inline-block
}
.popUp{
  transition: padding 200ms  cubic-bezier(0, 0, 0, 1), background-color 200ms  cubic-bezier(0, 0, 0, 1);
  padding: 10%!important;
  z-index: 1000;
  display: flex;
  justify-content: center;
  align-items: center;
}
.popUp &gt; div{
  transition: box-shadow 200ms cubic-bezier(0, 0, 0, 1);
  box-shadow: rgba(0, 0, 0, 0.4) 0 12px 32px 8px;
  background-color: white;
  cursor:default!important;
}
.cards-container{
position:relative;
}
.button-container {
text-align:center;
float:right;
}
.openButton {
padding:0.5em 0.35em 0.8em 0.35em;
border-radius:2px;
text-decoration:none;
width:50px;
height:20px;
text-align:center;
display:none;
font-size:15px;
margin-left:10px;
background-color:#00C853;
}
.popUp .openButton:not([href=""]) {
  display: inline-block;
}
.popUp .cross-relative {
position:relative;
}
.closePopup{
  z-index: 1;
  right: 5px;
 padding: 7px;
  color: rgb(68, 68, 68);
  position: absolute;
  cursor:pointer;
  display:none;
}
.popUp .closePopup {
display:block!important;
}
.popUp .description {
display:block!important;
}
.content-container{ 
  position:relative;
}
.Big-Img {
padding-right:7px;
width:70%;
margin-bottom:15px;
}
.closePopup img {
width:20px;
}
.details {
  color: #666;
  line-height: 16px;
  font-size: 15px;
  text-decoration: none;
  letter-spacing: -0.5px;
  font-style: normal;
}
.Date {
  text-decoration: none;
  font-size: 16px;
  line-height: 20px;
  color: #444;
  font-weight: bold;
  clear: center;
  font-style: normal;
  display:block;
  margin:7px 0px!important;
}
;
.info {
margin:0px 7px;
}
.popUp a[data-availability="Yes"][data-available="yes"] {
        display:inline-block!important;
}
.popUp div[data-availability="No"][data-available="no"] {
        display:inline-block!important;
}
.availability {
font-size: 14px;
line-height: 18px;
color: #666;
text-align:justify;
max-width:575px;
display:none;
font-weight:bold;
}</t>
  </si>
  <si>
    <t xml:space="preserve">/*** CSS for Awesome Table Gadget***/
/* loader progress bar */
.loader {
        background-color:#437af8;
}
/**
.cards-page {
display:none!important;
}
**/
/*** Configuration of FILTERS ***/
/** Labels of filters **/
.google-visualization-controls-label {
        color:#333;
}
/** StringFilter **/
.google-visualization-controls-stringfilter INPUT {
        border:0px solid #d9d9d9!important;
        color:#222;
}
.google-visualization-controls-stringfilter INPUT:hover {
        border:1px solid #b9b9b9;
        border-top:1px solid #a0a0a0;
}
.google-visualization-controls-stringfilter INPUT:focus {
        border:1px solid #4d90fe;
}
/** CategoryFilter **/
.google-visualization-controls-categoryfilter .charts-menu-button,
.google-visualization-controls-categoryfilter .charts-menu-button.charts-menu-button-hover,
.google-visualization-controls-categoryfilter .charts-menu-button.charts-menu-button-active {
        color:#444;
        border:0px solid rgba(0,0,0,0.1);
        background:none;
        background:#ffffff;
}
.google-visualization-controls-categoryfilter LI{
        background-color:rgb(255, 51, 51)!important;
        color:#FFF;
        height:25px;
        vertical-align: middle;
        border-radius: 0px;
        line-height:25px;
        }
/* Croix du CategoryFilter */
.google-visualization-controls-categoryfilter LI .charts-link-button {
color:white!important;
}
/* CategoryFilter &amp; csvFilter hovered item in the dropdown */
.charts-menuitem-highlight {
        background-color:rgb(255, 51, 51)!important;
        border-color:rgb(255, 51, 51)!important;
        color:#444;
}
.google-visualization-controls-categoryfilter .charts-menu-inner-box {
background-color: #FFFFFF!important;
}
div.awt-vis-controls-csvFilter .awt-csvFilter-button {
  background-color: #FFF;
  border-color: #FFF
}
/** NumberRangeFilter **/
/* slider thumbs */
.google-visualization-controls-slider-horizontal .google-visualization-controls-slider-thumb,
.google-visualization-controls-slider-vertical .google-visualization-controls-slider-thumb {
        background-color: #44444F!important;
        border: 1px solid #444444;
}
/* label showing the current thumb value */
.google-visualization-controls-rangefilter-thumblabel {
        color:#444444!important;
}
.google-visualization-controls-slider-horizontal .google-visualization-controls-slider-thumb, .google-visualization-controls-slider-vertical .google-visualization-controls-slider-thumb {
background-color: #44444F!important;
border: 1px solid #44444F!important;
}
.google-visualization-controls-slider-horizontal {
border: 1px solid #DCDCDC!important;
}
.google-visualization-controls-slider-handle {
background-color: #DCDCDC!important;
}
.google-visualization-controls-label {
font-weight: 500!important;        
}
.charts-menuitem-highlight&gt;.charts-menuitem-content {
color: white;
}
</t>
  </si>
  <si>
    <t>function popDiv(e) {
 if (e.classList.contains('popUp') == false) {
  if (window.innerWidth &lt; 480) {
   var elem = e.querySelector('.openButton');
   if (elem.getAttribute('href') == '')
    return;
   elem.click();
   return;
  }
  var cont = document.querySelector('.cards-container').getBoundingClientRect();
  var rect = e.getBoundingClientRect();
  var style = 'position: fixed;' +
   'top: 0;bottom: 0;left: 0;right: 0;' +
   'padding:' +
   (rect.top &gt; 0 ? rect.top : 0) + 'px ' +
   (window.innerWidth &gt; rect.right ? window.innerWidth - rect.right : 0) + 'px ' +
   (window.innerHeight &gt; rect.bottom ? window.innerHeight - rect.bottom : 0) + 'px ' +
   (rect.left &gt; 0 ? rect.left : 0) + 'px';
  e.setAttribute('style', style);
  e.parentElement.setAttribute('style', 'height:' + rect.height + 'px');
  e.querySelector('div').setAttribute('style', '');
  clearTimeout(e.timeout);
  e.timeout = setTimeout(function () {
    e.classList.add('popUp');
   }, 20);
 } else {
  e.setAttribute('style', e.getAttribute('style') + '!important;background-Color:transparent;');
  e.querySelector('div').setAttribute('style', 'box-shadow: rgba(0, 0, 0, 0.4) 0 0!important');
  clearTimeout(e.timeout);
  e.timeout = setTimeout(function () {
    e.setAttribute('style', 'padding: 0');
    e.parentElement.setAttribute('style', '');
    e.classList.remove('popUp');
    e.querySelector('div').setAttribute('style', '');
   }, 500);
 }
}
function cancelClick(ev, e) {
 if (e.parentElement.classList.contains('popUp') == true) {
  ev = ev || window.event;
  if (ev.stopPropagation)
   ev.stopPropagation();
  if (ev.cancelBubble != null)
   ev.cancelBubble = true;
 }
}
function closePopUp(e) {
 while (e.classList.contains('popUp') == false) {
  if (e.classList.contains('card-content') || e == document.body)
   return;
  e = e.parentElement;
 }
 popDiv(e);
}</t>
  </si>
  <si>
    <t xml:space="preserve">.awesomeTable-visualization-cards .card-content {
  margin: 0 -1px -1px 0;
  padding: 0;
  box-shadow: rgba(0, 0, 0, 0.4) 0 0;
  border: solid 1px rgba(189, 189, 189, 0.4);
  display:flex;
}
.card-content&gt;div&gt;div {
  padding: 15px;
}
.awesomeTable-visualization-cards .cards-container {
  margin-right: 1px;
}
.awesomeTable-visualization-cards .card-content:hover {
  background-color: white;
  box-shadow: rgba(0, 0, 0, 0.4) 0 0;
}
.card-content&gt;div:not(.popUp):hover{
  box-shadow: rgba(0, 0, 0, 0.4) 0 8px 16px 0;
}
.card-content&gt;div {
    transition: box-shadow 300ms cubic-bezier(0.22, 0.84, 0.57, 1);
}
div.popUp {
    transition: box-shadow 300ms cubic-bezier(0.22, 0.84, 0.57, 1), padding 300ms  cubic-bezier(0, 0, 0, 1);
}
</t>
  </si>
  <si>
    <t>Categories</t>
  </si>
  <si>
    <t>Available</t>
  </si>
  <si>
    <t>Yes</t>
  </si>
  <si>
    <t>No</t>
  </si>
  <si>
    <t>Land Development</t>
  </si>
  <si>
    <t>Research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</si>
</sst>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m/d/yyyy"/>
    <numFmt numFmtId="166" formatCode="M/d/yyyy"/>
  </numFmts>
  <fonts count="18">
    <font>
      <sz val="10.0"/>
      <color rgb="FF000000"/>
      <name val="Arial"/>
    </font>
    <font>
      <b/>
      <sz val="10.0"/>
      <color rgb="FFFFFFFF"/>
    </font>
    <font>
      <sz val="10.0"/>
      <color rgb="FF666666"/>
    </font>
    <font>
      <sz val="10.0"/>
    </font>
    <font>
      <sz val="11.0"/>
    </font>
    <font>
      <u/>
      <sz val="10.0"/>
      <color rgb="FF0000FF"/>
    </font>
    <font>
      <u/>
      <sz val="10.0"/>
      <color rgb="FF1155CC"/>
    </font>
    <font>
      <sz val="11.0"/>
      <color rgb="FF000000"/>
      <name val="Arial"/>
    </font>
    <font/>
    <font>
      <color rgb="FF000000"/>
      <name val="Arial"/>
    </font>
    <font>
      <name val="Arial"/>
    </font>
    <font>
      <u/>
      <sz val="10.0"/>
      <color rgb="FF0000FF"/>
    </font>
    <font>
      <color rgb="FF222222"/>
      <name val="Arial"/>
    </font>
    <font>
      <sz val="10.0"/>
      <color rgb="FF0000FF"/>
    </font>
    <font>
      <b/>
    </font>
    <font>
      <sz val="9.0"/>
      <color rgb="FF333333"/>
    </font>
    <font>
      <sz val="9.0"/>
      <color rgb="FFCCCCCC"/>
    </font>
    <font>
      <sz val="9.0"/>
    </font>
  </fonts>
  <fills count="5">
    <fill>
      <patternFill patternType="none"/>
    </fill>
    <fill>
      <patternFill patternType="lightGray"/>
    </fill>
    <fill>
      <patternFill patternType="solid">
        <fgColor rgb="FFB4A7D6"/>
        <bgColor rgb="FFB4A7D6"/>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0"/>
    </xf>
    <xf borderId="0" fillId="2" fontId="1" numFmtId="0" xfId="0" applyAlignment="1" applyFont="1">
      <alignment horizontal="left" readingOrder="0" shrinkToFit="0" vertical="top" wrapText="1"/>
    </xf>
    <xf borderId="0" fillId="2" fontId="1" numFmtId="164" xfId="0" applyAlignment="1" applyFont="1" applyNumberFormat="1">
      <alignment horizontal="left" readingOrder="0" shrinkToFit="0" vertical="top" wrapText="0"/>
    </xf>
    <xf borderId="0" fillId="3" fontId="2" numFmtId="0" xfId="0" applyAlignment="1" applyFill="1" applyFont="1">
      <alignment horizontal="left" readingOrder="0" shrinkToFit="0" vertical="top" wrapText="0"/>
    </xf>
    <xf borderId="0" fillId="3" fontId="2" numFmtId="0" xfId="0" applyAlignment="1" applyFont="1">
      <alignment horizontal="left" readingOrder="0" shrinkToFit="0" vertical="top" wrapText="1"/>
    </xf>
    <xf borderId="0" fillId="3" fontId="2" numFmtId="164" xfId="0" applyAlignment="1" applyFont="1" applyNumberFormat="1">
      <alignment horizontal="left" readingOrder="0" shrinkToFit="0" vertical="top" wrapText="0"/>
    </xf>
    <xf borderId="0" fillId="3" fontId="2" numFmtId="0" xfId="0" applyAlignment="1" applyFont="1">
      <alignment horizontal="left" readingOrder="0" shrinkToFit="0" vertical="bottom" wrapText="1"/>
    </xf>
    <xf borderId="0" fillId="0" fontId="3" numFmtId="0" xfId="0" applyAlignment="1" applyFont="1">
      <alignment horizontal="left" readingOrder="0" vertical="center"/>
    </xf>
    <xf borderId="0" fillId="4" fontId="4"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0"/>
    </xf>
    <xf borderId="0" fillId="0" fontId="3" numFmtId="165" xfId="0" applyAlignment="1" applyFont="1" applyNumberFormat="1">
      <alignment horizontal="left" readingOrder="0" vertical="center"/>
    </xf>
    <xf borderId="0" fillId="0" fontId="5" numFmtId="0" xfId="0" applyAlignment="1" applyFont="1">
      <alignment horizontal="left" readingOrder="0" vertical="center"/>
    </xf>
    <xf borderId="0" fillId="0" fontId="6" numFmtId="0" xfId="0" applyAlignment="1" applyFont="1">
      <alignment horizontal="left" readingOrder="0" vertical="center"/>
    </xf>
    <xf borderId="0" fillId="4" fontId="7" numFmtId="0" xfId="0" applyAlignment="1" applyFont="1">
      <alignment horizontal="left" readingOrder="0"/>
    </xf>
    <xf borderId="0" fillId="0" fontId="3" numFmtId="166" xfId="0" applyAlignment="1" applyFont="1" applyNumberFormat="1">
      <alignment horizontal="left" readingOrder="0" vertical="center"/>
    </xf>
    <xf borderId="0" fillId="0" fontId="8" numFmtId="0" xfId="0" applyAlignment="1" applyFont="1">
      <alignment readingOrder="0"/>
    </xf>
    <xf borderId="0" fillId="0" fontId="3" numFmtId="165" xfId="0" applyAlignment="1" applyFont="1" applyNumberFormat="1">
      <alignment horizontal="left" readingOrder="0" shrinkToFit="0" vertical="center" wrapText="1"/>
    </xf>
    <xf borderId="0" fillId="0" fontId="3" numFmtId="0" xfId="0" applyAlignment="1" applyFont="1">
      <alignment horizontal="left" shrinkToFit="0" vertical="center" wrapText="1"/>
    </xf>
    <xf borderId="0" fillId="4" fontId="9" numFmtId="0" xfId="0" applyAlignment="1" applyFont="1">
      <alignment readingOrder="0"/>
    </xf>
    <xf borderId="0" fillId="0" fontId="10" numFmtId="0" xfId="0" applyAlignment="1" applyFont="1">
      <alignment readingOrder="0"/>
    </xf>
    <xf borderId="0" fillId="4" fontId="10" numFmtId="0" xfId="0" applyAlignment="1" applyFont="1">
      <alignment readingOrder="0"/>
    </xf>
    <xf borderId="0" fillId="0" fontId="10" numFmtId="0" xfId="0" applyFont="1"/>
    <xf borderId="0" fillId="0" fontId="10" numFmtId="166" xfId="0" applyAlignment="1" applyFont="1" applyNumberFormat="1">
      <alignment readingOrder="0"/>
    </xf>
    <xf borderId="0" fillId="0" fontId="3" numFmtId="0" xfId="0" applyAlignment="1" applyFont="1">
      <alignment horizontal="left" vertical="center"/>
    </xf>
    <xf borderId="0" fillId="0" fontId="3" numFmtId="166" xfId="0" applyAlignment="1" applyFont="1" applyNumberFormat="1">
      <alignment horizontal="left" vertical="center"/>
    </xf>
    <xf borderId="0" fillId="0" fontId="3" numFmtId="0" xfId="0" applyAlignment="1" applyFont="1">
      <alignment horizontal="left" readingOrder="0" shrinkToFit="0" vertical="center" wrapText="0"/>
    </xf>
    <xf borderId="0" fillId="0" fontId="11" numFmtId="0" xfId="0" applyAlignment="1" applyFont="1">
      <alignment horizontal="left" readingOrder="0" vertical="center"/>
    </xf>
    <xf borderId="0" fillId="4" fontId="12" numFmtId="0" xfId="0" applyAlignment="1" applyFont="1">
      <alignment horizontal="left" readingOrder="0" vertical="center"/>
    </xf>
    <xf borderId="0" fillId="4" fontId="9" numFmtId="0" xfId="0" applyAlignment="1" applyFont="1">
      <alignment horizontal="left" readingOrder="0" shrinkToFit="0" vertical="center" wrapText="1"/>
    </xf>
    <xf borderId="0" fillId="0" fontId="8" numFmtId="14" xfId="0" applyAlignment="1" applyFont="1" applyNumberFormat="1">
      <alignment horizontal="left" readingOrder="0" vertical="center"/>
    </xf>
    <xf borderId="0" fillId="0" fontId="13" numFmtId="0" xfId="0" applyAlignment="1" applyFont="1">
      <alignment horizontal="left" readingOrder="0" vertical="center"/>
    </xf>
    <xf borderId="0" fillId="2" fontId="1" numFmtId="0" xfId="0" applyAlignment="1" applyFont="1">
      <alignment readingOrder="0" shrinkToFit="0" vertical="top" wrapText="0"/>
    </xf>
    <xf borderId="0" fillId="0" fontId="3"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14" numFmtId="0" xfId="0" applyAlignment="1" applyFont="1">
      <alignment readingOrder="0"/>
    </xf>
    <xf borderId="0" fillId="4" fontId="15" numFmtId="0" xfId="0" applyAlignment="1" applyFont="1">
      <alignment horizontal="left" readingOrder="0"/>
    </xf>
    <xf borderId="0" fillId="0" fontId="3" numFmtId="0" xfId="0" applyAlignment="1" applyFont="1">
      <alignment vertical="bottom"/>
    </xf>
    <xf borderId="0" fillId="0" fontId="3" numFmtId="0" xfId="0" applyAlignment="1" applyFont="1">
      <alignment horizontal="left" vertical="bottom"/>
    </xf>
    <xf borderId="0" fillId="0" fontId="3" numFmtId="0" xfId="0" applyAlignment="1" applyFont="1">
      <alignment horizontal="left" readingOrder="0" vertical="bottom"/>
    </xf>
    <xf borderId="0" fillId="4" fontId="16" numFmtId="0" xfId="0" applyAlignment="1" applyFont="1">
      <alignment horizontal="left" readingOrder="0"/>
    </xf>
    <xf borderId="0" fillId="4" fontId="1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gdurl.com/N2Up" TargetMode="External"/><Relationship Id="rId42" Type="http://schemas.openxmlformats.org/officeDocument/2006/relationships/hyperlink" Target="http://gdurl.com/g5QH" TargetMode="External"/><Relationship Id="rId41" Type="http://schemas.openxmlformats.org/officeDocument/2006/relationships/hyperlink" Target="http://gdurl.com/xT-w" TargetMode="External"/><Relationship Id="rId44" Type="http://schemas.openxmlformats.org/officeDocument/2006/relationships/hyperlink" Target="http://gdurl.com/HQfs" TargetMode="External"/><Relationship Id="rId43" Type="http://schemas.openxmlformats.org/officeDocument/2006/relationships/hyperlink" Target="http://gdurl.com/BIql" TargetMode="External"/><Relationship Id="rId46" Type="http://schemas.openxmlformats.org/officeDocument/2006/relationships/hyperlink" Target="http://gdurl.com/jTBT" TargetMode="External"/><Relationship Id="rId45" Type="http://schemas.openxmlformats.org/officeDocument/2006/relationships/hyperlink" Target="http://gdurl.com/QdDi" TargetMode="External"/><Relationship Id="rId80" Type="http://schemas.openxmlformats.org/officeDocument/2006/relationships/drawing" Target="../drawings/drawing1.xml"/><Relationship Id="rId1" Type="http://schemas.openxmlformats.org/officeDocument/2006/relationships/hyperlink" Target="https://gdurl.com/aj_A" TargetMode="External"/><Relationship Id="rId2" Type="http://schemas.openxmlformats.org/officeDocument/2006/relationships/hyperlink" Target="http://gdurl.com/N2Up" TargetMode="External"/><Relationship Id="rId3" Type="http://schemas.openxmlformats.org/officeDocument/2006/relationships/hyperlink" Target="http://gdurl.com/N2Up" TargetMode="External"/><Relationship Id="rId4" Type="http://schemas.openxmlformats.org/officeDocument/2006/relationships/hyperlink" Target="http://gdurl.com/N2Up" TargetMode="External"/><Relationship Id="rId9" Type="http://schemas.openxmlformats.org/officeDocument/2006/relationships/hyperlink" Target="https://gdurl.com/fz20" TargetMode="External"/><Relationship Id="rId48" Type="http://schemas.openxmlformats.org/officeDocument/2006/relationships/hyperlink" Target="http://gdurl.com/Y6B1" TargetMode="External"/><Relationship Id="rId47" Type="http://schemas.openxmlformats.org/officeDocument/2006/relationships/hyperlink" Target="http://gdurl.com/eI-A" TargetMode="External"/><Relationship Id="rId49" Type="http://schemas.openxmlformats.org/officeDocument/2006/relationships/hyperlink" Target="http://gdurl.com/9kmU" TargetMode="External"/><Relationship Id="rId5" Type="http://schemas.openxmlformats.org/officeDocument/2006/relationships/hyperlink" Target="https://gdurl.com/aw_o" TargetMode="External"/><Relationship Id="rId6" Type="http://schemas.openxmlformats.org/officeDocument/2006/relationships/hyperlink" Target="https://gdurl.com/48IC" TargetMode="External"/><Relationship Id="rId7" Type="http://schemas.openxmlformats.org/officeDocument/2006/relationships/hyperlink" Target="https://gdurl.com/p-vz" TargetMode="External"/><Relationship Id="rId8" Type="http://schemas.openxmlformats.org/officeDocument/2006/relationships/hyperlink" Target="https://gdurl.com/fLa3" TargetMode="External"/><Relationship Id="rId73" Type="http://schemas.openxmlformats.org/officeDocument/2006/relationships/hyperlink" Target="http://gdurl.com/7dMV" TargetMode="External"/><Relationship Id="rId72" Type="http://schemas.openxmlformats.org/officeDocument/2006/relationships/hyperlink" Target="http://gdurl.com/yWSGK" TargetMode="External"/><Relationship Id="rId31" Type="http://schemas.openxmlformats.org/officeDocument/2006/relationships/hyperlink" Target="https://gdurl.com/jxL2" TargetMode="External"/><Relationship Id="rId75" Type="http://schemas.openxmlformats.org/officeDocument/2006/relationships/hyperlink" Target="http://gdurl.com/q1ds" TargetMode="External"/><Relationship Id="rId30" Type="http://schemas.openxmlformats.org/officeDocument/2006/relationships/hyperlink" Target="https://gdurl.com/6qWP" TargetMode="External"/><Relationship Id="rId74" Type="http://schemas.openxmlformats.org/officeDocument/2006/relationships/hyperlink" Target="http://gdurl.com/p5LQ" TargetMode="External"/><Relationship Id="rId33" Type="http://schemas.openxmlformats.org/officeDocument/2006/relationships/hyperlink" Target="https://gdurl.com/DkNb" TargetMode="External"/><Relationship Id="rId77" Type="http://schemas.openxmlformats.org/officeDocument/2006/relationships/hyperlink" Target="http://gdurl.com/XghY" TargetMode="External"/><Relationship Id="rId32" Type="http://schemas.openxmlformats.org/officeDocument/2006/relationships/hyperlink" Target="https://gdurl.com/98F7" TargetMode="External"/><Relationship Id="rId76" Type="http://schemas.openxmlformats.org/officeDocument/2006/relationships/hyperlink" Target="http://gdurl.com/EX4g" TargetMode="External"/><Relationship Id="rId35" Type="http://schemas.openxmlformats.org/officeDocument/2006/relationships/hyperlink" Target="https://gdurl.com/8k3V" TargetMode="External"/><Relationship Id="rId79" Type="http://schemas.openxmlformats.org/officeDocument/2006/relationships/hyperlink" Target="http://gdurl.com/1KzT" TargetMode="External"/><Relationship Id="rId34" Type="http://schemas.openxmlformats.org/officeDocument/2006/relationships/hyperlink" Target="https://gdurl.com/oonw" TargetMode="External"/><Relationship Id="rId78" Type="http://schemas.openxmlformats.org/officeDocument/2006/relationships/hyperlink" Target="http://gdurl.com/VFnX" TargetMode="External"/><Relationship Id="rId71" Type="http://schemas.openxmlformats.org/officeDocument/2006/relationships/hyperlink" Target="http://gdurl.com/yWSGK" TargetMode="External"/><Relationship Id="rId70" Type="http://schemas.openxmlformats.org/officeDocument/2006/relationships/hyperlink" Target="http://gdurl.com/Wpi3" TargetMode="External"/><Relationship Id="rId37" Type="http://schemas.openxmlformats.org/officeDocument/2006/relationships/hyperlink" Target="http://gdurl.com/N2Up" TargetMode="External"/><Relationship Id="rId36" Type="http://schemas.openxmlformats.org/officeDocument/2006/relationships/hyperlink" Target="http://gdurl.com/N2Up" TargetMode="External"/><Relationship Id="rId39" Type="http://schemas.openxmlformats.org/officeDocument/2006/relationships/hyperlink" Target="http://gdurl.com/N2Up" TargetMode="External"/><Relationship Id="rId38" Type="http://schemas.openxmlformats.org/officeDocument/2006/relationships/hyperlink" Target="http://gdurl.com/N2Up" TargetMode="External"/><Relationship Id="rId62" Type="http://schemas.openxmlformats.org/officeDocument/2006/relationships/hyperlink" Target="http://gdurl.com/N2Up" TargetMode="External"/><Relationship Id="rId61" Type="http://schemas.openxmlformats.org/officeDocument/2006/relationships/hyperlink" Target="http://gdurl.com/5tqp" TargetMode="External"/><Relationship Id="rId20" Type="http://schemas.openxmlformats.org/officeDocument/2006/relationships/hyperlink" Target="https://gdurl.com/zjRZ" TargetMode="External"/><Relationship Id="rId64" Type="http://schemas.openxmlformats.org/officeDocument/2006/relationships/hyperlink" Target="http://gdurl.com/pDO9" TargetMode="External"/><Relationship Id="rId63" Type="http://schemas.openxmlformats.org/officeDocument/2006/relationships/hyperlink" Target="http://gdurl.com/pDO9" TargetMode="External"/><Relationship Id="rId22" Type="http://schemas.openxmlformats.org/officeDocument/2006/relationships/hyperlink" Target="https://gdurl.com/W0O2" TargetMode="External"/><Relationship Id="rId66" Type="http://schemas.openxmlformats.org/officeDocument/2006/relationships/hyperlink" Target="https://gdurl.com/GvK9" TargetMode="External"/><Relationship Id="rId21" Type="http://schemas.openxmlformats.org/officeDocument/2006/relationships/hyperlink" Target="https://gdurl.com/TlLS" TargetMode="External"/><Relationship Id="rId65" Type="http://schemas.openxmlformats.org/officeDocument/2006/relationships/hyperlink" Target="http://gdurl.com/yWSGK" TargetMode="External"/><Relationship Id="rId24" Type="http://schemas.openxmlformats.org/officeDocument/2006/relationships/hyperlink" Target="https://gdurl.com/wkV9" TargetMode="External"/><Relationship Id="rId68" Type="http://schemas.openxmlformats.org/officeDocument/2006/relationships/hyperlink" Target="http://gdurl.com/rHEa" TargetMode="External"/><Relationship Id="rId23" Type="http://schemas.openxmlformats.org/officeDocument/2006/relationships/hyperlink" Target="https://gdurl.com/lEiI" TargetMode="External"/><Relationship Id="rId67" Type="http://schemas.openxmlformats.org/officeDocument/2006/relationships/hyperlink" Target="http://gdurl.com/N2Up" TargetMode="External"/><Relationship Id="rId60" Type="http://schemas.openxmlformats.org/officeDocument/2006/relationships/hyperlink" Target="http://gdurl.com/yWSGK" TargetMode="External"/><Relationship Id="rId26" Type="http://schemas.openxmlformats.org/officeDocument/2006/relationships/hyperlink" Target="https://gdurl.com/ouc3" TargetMode="External"/><Relationship Id="rId25" Type="http://schemas.openxmlformats.org/officeDocument/2006/relationships/hyperlink" Target="https://gdurl.com/LiOu" TargetMode="External"/><Relationship Id="rId69" Type="http://schemas.openxmlformats.org/officeDocument/2006/relationships/hyperlink" Target="http://gdurl.com/yWSGK" TargetMode="External"/><Relationship Id="rId28" Type="http://schemas.openxmlformats.org/officeDocument/2006/relationships/hyperlink" Target="http://gdurl.com/N2Up" TargetMode="External"/><Relationship Id="rId27" Type="http://schemas.openxmlformats.org/officeDocument/2006/relationships/hyperlink" Target="https://gdurl.com/3M6k" TargetMode="External"/><Relationship Id="rId29" Type="http://schemas.openxmlformats.org/officeDocument/2006/relationships/hyperlink" Target="https://gdurl.com/EA5F" TargetMode="External"/><Relationship Id="rId51" Type="http://schemas.openxmlformats.org/officeDocument/2006/relationships/hyperlink" Target="http://gdurl.com/5Vro" TargetMode="External"/><Relationship Id="rId50" Type="http://schemas.openxmlformats.org/officeDocument/2006/relationships/hyperlink" Target="http://gdurl.com/b_nN" TargetMode="External"/><Relationship Id="rId53" Type="http://schemas.openxmlformats.org/officeDocument/2006/relationships/hyperlink" Target="http://gdurl.com/yWSGK" TargetMode="External"/><Relationship Id="rId52" Type="http://schemas.openxmlformats.org/officeDocument/2006/relationships/hyperlink" Target="http://gdurl.com/Yady" TargetMode="External"/><Relationship Id="rId11" Type="http://schemas.openxmlformats.org/officeDocument/2006/relationships/hyperlink" Target="https://gdurl.com/EIkr" TargetMode="External"/><Relationship Id="rId55" Type="http://schemas.openxmlformats.org/officeDocument/2006/relationships/hyperlink" Target="http://gdurl.com/e-Sl" TargetMode="External"/><Relationship Id="rId10" Type="http://schemas.openxmlformats.org/officeDocument/2006/relationships/hyperlink" Target="https://gdurl.com/S0ru" TargetMode="External"/><Relationship Id="rId54" Type="http://schemas.openxmlformats.org/officeDocument/2006/relationships/hyperlink" Target="http://gdurl.com/N2Up" TargetMode="External"/><Relationship Id="rId13" Type="http://schemas.openxmlformats.org/officeDocument/2006/relationships/hyperlink" Target="https://gdurl.com/RNRI" TargetMode="External"/><Relationship Id="rId57" Type="http://schemas.openxmlformats.org/officeDocument/2006/relationships/hyperlink" Target="http://gdurl.com/wFgN" TargetMode="External"/><Relationship Id="rId12" Type="http://schemas.openxmlformats.org/officeDocument/2006/relationships/hyperlink" Target="https://gdurl.com/zAnD" TargetMode="External"/><Relationship Id="rId56" Type="http://schemas.openxmlformats.org/officeDocument/2006/relationships/hyperlink" Target="http://gdurl.com/yWSGK" TargetMode="External"/><Relationship Id="rId15" Type="http://schemas.openxmlformats.org/officeDocument/2006/relationships/hyperlink" Target="https://gdurl.com/uRrh" TargetMode="External"/><Relationship Id="rId59" Type="http://schemas.openxmlformats.org/officeDocument/2006/relationships/hyperlink" Target="http://gdurl.com/93QY" TargetMode="External"/><Relationship Id="rId14" Type="http://schemas.openxmlformats.org/officeDocument/2006/relationships/hyperlink" Target="https://gdurl.com/XldV" TargetMode="External"/><Relationship Id="rId58" Type="http://schemas.openxmlformats.org/officeDocument/2006/relationships/hyperlink" Target="http://gdurl.com/7gRG" TargetMode="External"/><Relationship Id="rId17" Type="http://schemas.openxmlformats.org/officeDocument/2006/relationships/hyperlink" Target="https://gdurl.com/eMrU" TargetMode="External"/><Relationship Id="rId16" Type="http://schemas.openxmlformats.org/officeDocument/2006/relationships/hyperlink" Target="https://gdurl.com/I9zP" TargetMode="External"/><Relationship Id="rId19" Type="http://schemas.openxmlformats.org/officeDocument/2006/relationships/hyperlink" Target="https://gdurl.com/BNRq" TargetMode="External"/><Relationship Id="rId18" Type="http://schemas.openxmlformats.org/officeDocument/2006/relationships/hyperlink" Target="https://gdurl.com/xDN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6.5"/>
    <col customWidth="1" min="2" max="2" width="32.5"/>
    <col customWidth="1" min="3" max="3" width="60.5"/>
    <col customWidth="1" min="4" max="4" width="7.5"/>
    <col customWidth="1" min="5" max="5" width="13.38"/>
    <col customWidth="1" min="6" max="6" width="21.0"/>
    <col customWidth="1" min="7" max="7" width="52.63"/>
    <col customWidth="1" min="8" max="9" width="21.25"/>
    <col customWidth="1" min="10" max="10" width="9.75"/>
    <col customWidth="1" min="11" max="11" width="16.25"/>
    <col customWidth="1" min="12" max="13" width="17.75"/>
  </cols>
  <sheetData>
    <row r="1">
      <c r="A1" s="1" t="s">
        <v>0</v>
      </c>
      <c r="B1" s="2" t="s">
        <v>1</v>
      </c>
      <c r="C1" s="1" t="s">
        <v>2</v>
      </c>
      <c r="D1" s="3" t="s">
        <v>3</v>
      </c>
      <c r="E1" s="2" t="s">
        <v>4</v>
      </c>
      <c r="F1" s="1" t="s">
        <v>5</v>
      </c>
      <c r="G1" s="2" t="s">
        <v>6</v>
      </c>
      <c r="H1" s="2" t="s">
        <v>7</v>
      </c>
      <c r="I1" s="2" t="s">
        <v>8</v>
      </c>
      <c r="J1" s="1" t="s">
        <v>9</v>
      </c>
      <c r="K1" s="1" t="s">
        <v>10</v>
      </c>
      <c r="L1" s="1" t="s">
        <v>11</v>
      </c>
      <c r="M1" s="3" t="s">
        <v>12</v>
      </c>
    </row>
    <row r="2">
      <c r="A2" s="4" t="s">
        <v>13</v>
      </c>
      <c r="B2" s="5" t="s">
        <v>13</v>
      </c>
      <c r="C2" s="4" t="s">
        <v>13</v>
      </c>
      <c r="D2" s="6" t="s">
        <v>13</v>
      </c>
      <c r="E2" s="5" t="s">
        <v>14</v>
      </c>
      <c r="F2" s="4" t="s">
        <v>13</v>
      </c>
      <c r="G2" s="5" t="s">
        <v>15</v>
      </c>
      <c r="H2" s="5" t="s">
        <v>15</v>
      </c>
      <c r="I2" s="7" t="s">
        <v>16</v>
      </c>
      <c r="J2" s="4"/>
      <c r="K2" s="4" t="s">
        <v>17</v>
      </c>
      <c r="L2" s="4" t="s">
        <v>18</v>
      </c>
      <c r="M2" s="6" t="s">
        <v>18</v>
      </c>
    </row>
    <row r="3" ht="58.5" customHeight="1">
      <c r="A3" s="8" t="s">
        <v>19</v>
      </c>
      <c r="B3" s="9" t="s">
        <v>20</v>
      </c>
      <c r="C3" s="10" t="s">
        <v>21</v>
      </c>
      <c r="D3" s="8">
        <v>2021.0</v>
      </c>
      <c r="E3" s="10" t="s">
        <v>22</v>
      </c>
      <c r="F3" s="8"/>
      <c r="G3" s="10" t="s">
        <v>23</v>
      </c>
      <c r="H3" s="10"/>
      <c r="I3" s="10" t="s">
        <v>24</v>
      </c>
      <c r="J3" s="11"/>
      <c r="K3" s="11"/>
      <c r="L3" s="11"/>
      <c r="M3" s="12">
        <v>44378.0</v>
      </c>
    </row>
    <row r="4" ht="58.5" customHeight="1">
      <c r="A4" s="8" t="s">
        <v>25</v>
      </c>
      <c r="B4" s="9" t="s">
        <v>26</v>
      </c>
      <c r="C4" s="10" t="s">
        <v>27</v>
      </c>
      <c r="D4" s="8">
        <v>2021.0</v>
      </c>
      <c r="E4" s="10" t="s">
        <v>22</v>
      </c>
      <c r="F4" s="8"/>
      <c r="G4" s="10" t="s">
        <v>23</v>
      </c>
      <c r="H4" s="10"/>
      <c r="I4" s="10" t="s">
        <v>24</v>
      </c>
      <c r="J4" s="11"/>
      <c r="K4" s="11"/>
      <c r="L4" s="11"/>
      <c r="M4" s="12">
        <v>44470.0</v>
      </c>
    </row>
    <row r="5" ht="58.5" customHeight="1">
      <c r="A5" s="8" t="s">
        <v>28</v>
      </c>
      <c r="B5" s="9" t="s">
        <v>29</v>
      </c>
      <c r="C5" s="10" t="s">
        <v>30</v>
      </c>
      <c r="D5" s="8">
        <v>2021.0</v>
      </c>
      <c r="E5" s="10" t="s">
        <v>22</v>
      </c>
      <c r="F5" s="8"/>
      <c r="G5" s="10" t="s">
        <v>31</v>
      </c>
      <c r="H5" s="10"/>
      <c r="I5" s="10" t="s">
        <v>24</v>
      </c>
      <c r="J5" s="11"/>
      <c r="K5" s="11"/>
      <c r="L5" s="11"/>
      <c r="M5" s="12">
        <v>44348.0</v>
      </c>
    </row>
    <row r="6" ht="58.5" customHeight="1">
      <c r="A6" s="8" t="s">
        <v>32</v>
      </c>
      <c r="B6" s="9" t="s">
        <v>24</v>
      </c>
      <c r="C6" s="10" t="s">
        <v>33</v>
      </c>
      <c r="D6" s="8">
        <v>2021.0</v>
      </c>
      <c r="E6" s="10" t="s">
        <v>22</v>
      </c>
      <c r="F6" s="8"/>
      <c r="G6" s="10" t="s">
        <v>34</v>
      </c>
      <c r="H6" s="10"/>
      <c r="I6" s="10" t="s">
        <v>24</v>
      </c>
      <c r="J6" s="11"/>
      <c r="K6" s="11"/>
      <c r="L6" s="11"/>
      <c r="M6" s="12">
        <v>44317.0</v>
      </c>
    </row>
    <row r="7" ht="101.25" customHeight="1">
      <c r="A7" s="8" t="s">
        <v>35</v>
      </c>
      <c r="B7" s="9" t="s">
        <v>36</v>
      </c>
      <c r="C7" s="10" t="s">
        <v>37</v>
      </c>
      <c r="D7" s="8">
        <v>2021.0</v>
      </c>
      <c r="E7" s="10" t="s">
        <v>22</v>
      </c>
      <c r="F7" s="8"/>
      <c r="G7" s="10" t="s">
        <v>23</v>
      </c>
      <c r="H7" s="10"/>
      <c r="I7" s="10" t="s">
        <v>24</v>
      </c>
      <c r="J7" s="11"/>
      <c r="K7" s="11"/>
      <c r="L7" s="11"/>
      <c r="M7" s="12">
        <v>44287.0</v>
      </c>
    </row>
    <row r="8" ht="58.5" customHeight="1">
      <c r="A8" s="8" t="s">
        <v>38</v>
      </c>
      <c r="B8" s="9" t="s">
        <v>39</v>
      </c>
      <c r="C8" s="10" t="s">
        <v>40</v>
      </c>
      <c r="D8" s="8">
        <v>2021.0</v>
      </c>
      <c r="E8" s="10" t="s">
        <v>41</v>
      </c>
      <c r="F8" s="13" t="s">
        <v>42</v>
      </c>
      <c r="G8" s="10" t="s">
        <v>23</v>
      </c>
      <c r="H8" s="10" t="s">
        <v>43</v>
      </c>
      <c r="I8" s="10" t="s">
        <v>44</v>
      </c>
      <c r="J8" s="11"/>
      <c r="K8" s="11"/>
      <c r="L8" s="11"/>
      <c r="M8" s="12">
        <v>44256.0</v>
      </c>
    </row>
    <row r="9" ht="58.5" customHeight="1">
      <c r="A9" s="8" t="s">
        <v>45</v>
      </c>
      <c r="B9" s="9" t="s">
        <v>46</v>
      </c>
      <c r="C9" s="10" t="s">
        <v>47</v>
      </c>
      <c r="D9" s="8">
        <v>2019.0</v>
      </c>
      <c r="E9" s="10" t="s">
        <v>41</v>
      </c>
      <c r="F9" s="13" t="s">
        <v>48</v>
      </c>
      <c r="G9" s="10" t="s">
        <v>23</v>
      </c>
      <c r="H9" s="10" t="s">
        <v>49</v>
      </c>
      <c r="I9" s="10" t="s">
        <v>44</v>
      </c>
      <c r="J9" s="11"/>
      <c r="K9" s="11"/>
      <c r="L9" s="11"/>
      <c r="M9" s="12">
        <v>44256.0</v>
      </c>
    </row>
    <row r="10" ht="58.5" customHeight="1">
      <c r="A10" s="8" t="s">
        <v>50</v>
      </c>
      <c r="B10" s="9" t="s">
        <v>51</v>
      </c>
      <c r="C10" s="10" t="s">
        <v>52</v>
      </c>
      <c r="D10" s="8">
        <v>2019.0</v>
      </c>
      <c r="E10" s="10" t="s">
        <v>41</v>
      </c>
      <c r="F10" s="13" t="s">
        <v>48</v>
      </c>
      <c r="G10" s="10" t="s">
        <v>23</v>
      </c>
      <c r="H10" s="10" t="s">
        <v>49</v>
      </c>
      <c r="I10" s="10" t="s">
        <v>44</v>
      </c>
      <c r="J10" s="11"/>
      <c r="K10" s="11"/>
      <c r="L10" s="11"/>
      <c r="M10" s="12">
        <v>44256.0</v>
      </c>
    </row>
    <row r="11" ht="58.5" customHeight="1">
      <c r="A11" s="8" t="s">
        <v>53</v>
      </c>
      <c r="B11" s="9" t="s">
        <v>54</v>
      </c>
      <c r="C11" s="10" t="s">
        <v>55</v>
      </c>
      <c r="D11" s="8">
        <v>2019.0</v>
      </c>
      <c r="E11" s="10" t="s">
        <v>41</v>
      </c>
      <c r="F11" s="13" t="s">
        <v>48</v>
      </c>
      <c r="G11" s="10" t="s">
        <v>23</v>
      </c>
      <c r="H11" s="10" t="s">
        <v>49</v>
      </c>
      <c r="I11" s="10" t="s">
        <v>44</v>
      </c>
      <c r="J11" s="11"/>
      <c r="K11" s="11"/>
      <c r="L11" s="11"/>
      <c r="M11" s="12">
        <v>44256.0</v>
      </c>
    </row>
    <row r="12" ht="58.5" customHeight="1">
      <c r="A12" s="8" t="s">
        <v>56</v>
      </c>
      <c r="B12" s="9" t="s">
        <v>57</v>
      </c>
      <c r="C12" s="10" t="s">
        <v>58</v>
      </c>
      <c r="D12" s="8">
        <v>2021.0</v>
      </c>
      <c r="E12" s="10" t="s">
        <v>41</v>
      </c>
      <c r="F12" s="14" t="s">
        <v>59</v>
      </c>
      <c r="G12" s="10" t="s">
        <v>60</v>
      </c>
      <c r="H12" s="10" t="s">
        <v>61</v>
      </c>
      <c r="I12" s="10" t="s">
        <v>44</v>
      </c>
      <c r="J12" s="11"/>
      <c r="K12" s="11"/>
      <c r="L12" s="11"/>
      <c r="M12" s="12">
        <v>44197.0</v>
      </c>
    </row>
    <row r="13" ht="58.5" customHeight="1">
      <c r="A13" s="8" t="s">
        <v>62</v>
      </c>
      <c r="B13" s="9" t="s">
        <v>63</v>
      </c>
      <c r="C13" s="15" t="s">
        <v>64</v>
      </c>
      <c r="D13" s="8">
        <v>2021.0</v>
      </c>
      <c r="E13" s="10" t="s">
        <v>41</v>
      </c>
      <c r="F13" s="13" t="s">
        <v>65</v>
      </c>
      <c r="G13" s="10" t="s">
        <v>23</v>
      </c>
      <c r="H13" s="10" t="s">
        <v>66</v>
      </c>
      <c r="I13" s="10" t="s">
        <v>44</v>
      </c>
      <c r="J13" s="11"/>
      <c r="K13" s="11"/>
      <c r="L13" s="11"/>
      <c r="M13" s="12">
        <v>44197.0</v>
      </c>
    </row>
    <row r="14">
      <c r="A14" s="8" t="s">
        <v>67</v>
      </c>
      <c r="B14" s="9" t="s">
        <v>68</v>
      </c>
      <c r="C14" s="15" t="s">
        <v>69</v>
      </c>
      <c r="D14" s="8">
        <v>2020.0</v>
      </c>
      <c r="E14" s="10" t="s">
        <v>41</v>
      </c>
      <c r="F14" s="14" t="s">
        <v>70</v>
      </c>
      <c r="G14" s="10" t="s">
        <v>23</v>
      </c>
      <c r="H14" s="10" t="s">
        <v>66</v>
      </c>
      <c r="I14" s="10" t="s">
        <v>44</v>
      </c>
      <c r="J14" s="11"/>
      <c r="K14" s="11"/>
      <c r="L14" s="11"/>
      <c r="M14" s="12">
        <v>44166.0</v>
      </c>
    </row>
    <row r="15">
      <c r="A15" s="8" t="s">
        <v>71</v>
      </c>
      <c r="B15" s="9" t="s">
        <v>72</v>
      </c>
      <c r="C15" s="10" t="s">
        <v>73</v>
      </c>
      <c r="D15" s="8">
        <v>2020.0</v>
      </c>
      <c r="E15" s="10" t="s">
        <v>41</v>
      </c>
      <c r="F15" s="13" t="s">
        <v>74</v>
      </c>
      <c r="G15" s="10" t="s">
        <v>23</v>
      </c>
      <c r="H15" s="10" t="s">
        <v>75</v>
      </c>
      <c r="I15" s="10" t="s">
        <v>44</v>
      </c>
      <c r="J15" s="11"/>
      <c r="K15" s="11"/>
      <c r="L15" s="11"/>
      <c r="M15" s="12">
        <v>44136.0</v>
      </c>
    </row>
    <row r="16">
      <c r="A16" s="8" t="s">
        <v>76</v>
      </c>
      <c r="B16" s="9" t="s">
        <v>77</v>
      </c>
      <c r="C16" s="10" t="s">
        <v>78</v>
      </c>
      <c r="D16" s="8">
        <v>2020.0</v>
      </c>
      <c r="E16" s="10" t="s">
        <v>41</v>
      </c>
      <c r="F16" s="14" t="s">
        <v>79</v>
      </c>
      <c r="G16" s="10" t="s">
        <v>23</v>
      </c>
      <c r="H16" s="10" t="s">
        <v>75</v>
      </c>
      <c r="I16" s="10" t="s">
        <v>44</v>
      </c>
      <c r="J16" s="11"/>
      <c r="K16" s="11"/>
      <c r="L16" s="11"/>
      <c r="M16" s="12">
        <v>44075.0</v>
      </c>
    </row>
    <row r="17">
      <c r="A17" s="8" t="s">
        <v>80</v>
      </c>
      <c r="B17" s="9" t="s">
        <v>81</v>
      </c>
      <c r="C17" s="10" t="s">
        <v>82</v>
      </c>
      <c r="D17" s="8">
        <v>2020.0</v>
      </c>
      <c r="E17" s="10" t="s">
        <v>41</v>
      </c>
      <c r="F17" s="13" t="s">
        <v>83</v>
      </c>
      <c r="G17" s="10" t="s">
        <v>60</v>
      </c>
      <c r="H17" s="10" t="s">
        <v>84</v>
      </c>
      <c r="I17" s="10" t="s">
        <v>44</v>
      </c>
      <c r="J17" s="11"/>
      <c r="K17" s="11"/>
      <c r="L17" s="11"/>
      <c r="M17" s="12">
        <v>44013.0</v>
      </c>
    </row>
    <row r="18">
      <c r="A18" s="8" t="s">
        <v>85</v>
      </c>
      <c r="B18" s="9" t="s">
        <v>86</v>
      </c>
      <c r="C18" s="10" t="s">
        <v>87</v>
      </c>
      <c r="D18" s="8">
        <v>2020.0</v>
      </c>
      <c r="E18" s="10" t="s">
        <v>41</v>
      </c>
      <c r="F18" s="14" t="s">
        <v>88</v>
      </c>
      <c r="G18" s="10" t="s">
        <v>60</v>
      </c>
      <c r="H18" s="10" t="s">
        <v>89</v>
      </c>
      <c r="I18" s="10"/>
      <c r="J18" s="11"/>
      <c r="K18" s="11"/>
      <c r="L18" s="11"/>
      <c r="M18" s="12">
        <v>43983.0</v>
      </c>
    </row>
    <row r="19">
      <c r="A19" s="8" t="s">
        <v>90</v>
      </c>
      <c r="B19" s="9" t="s">
        <v>91</v>
      </c>
      <c r="C19" s="10" t="s">
        <v>92</v>
      </c>
      <c r="D19" s="8">
        <v>2020.0</v>
      </c>
      <c r="E19" s="10" t="s">
        <v>41</v>
      </c>
      <c r="F19" s="14" t="s">
        <v>93</v>
      </c>
      <c r="G19" s="10" t="s">
        <v>60</v>
      </c>
      <c r="H19" s="10" t="s">
        <v>94</v>
      </c>
      <c r="I19" s="10"/>
      <c r="J19" s="11"/>
      <c r="K19" s="11"/>
      <c r="L19" s="11"/>
      <c r="M19" s="12">
        <v>43891.0</v>
      </c>
    </row>
    <row r="20">
      <c r="A20" s="8" t="s">
        <v>95</v>
      </c>
      <c r="B20" s="9" t="s">
        <v>96</v>
      </c>
      <c r="C20" s="10" t="s">
        <v>97</v>
      </c>
      <c r="D20" s="8">
        <v>2019.0</v>
      </c>
      <c r="E20" s="10" t="s">
        <v>41</v>
      </c>
      <c r="F20" s="13" t="s">
        <v>98</v>
      </c>
      <c r="G20" s="10" t="s">
        <v>60</v>
      </c>
      <c r="H20" s="10" t="s">
        <v>99</v>
      </c>
      <c r="I20" s="10" t="s">
        <v>44</v>
      </c>
      <c r="J20" s="11"/>
      <c r="K20" s="11"/>
      <c r="L20" s="11"/>
      <c r="M20" s="16">
        <v>43647.0</v>
      </c>
    </row>
    <row r="21">
      <c r="A21" s="8" t="s">
        <v>100</v>
      </c>
      <c r="B21" s="9" t="s">
        <v>101</v>
      </c>
      <c r="C21" s="10" t="s">
        <v>102</v>
      </c>
      <c r="D21" s="8">
        <v>2019.0</v>
      </c>
      <c r="E21" s="10" t="s">
        <v>41</v>
      </c>
      <c r="F21" s="13" t="s">
        <v>103</v>
      </c>
      <c r="G21" s="10" t="s">
        <v>60</v>
      </c>
      <c r="H21" s="17" t="s">
        <v>104</v>
      </c>
      <c r="I21" s="10" t="s">
        <v>44</v>
      </c>
      <c r="J21" s="11"/>
      <c r="K21" s="11"/>
      <c r="L21" s="11"/>
      <c r="M21" s="18">
        <v>43617.0</v>
      </c>
    </row>
    <row r="22">
      <c r="A22" s="8" t="s">
        <v>105</v>
      </c>
      <c r="B22" s="9" t="s">
        <v>106</v>
      </c>
      <c r="C22" s="10" t="s">
        <v>107</v>
      </c>
      <c r="D22" s="8">
        <v>2019.0</v>
      </c>
      <c r="E22" s="10" t="s">
        <v>41</v>
      </c>
      <c r="F22" s="13" t="s">
        <v>108</v>
      </c>
      <c r="G22" s="10" t="s">
        <v>23</v>
      </c>
      <c r="H22" s="10" t="s">
        <v>109</v>
      </c>
      <c r="I22" s="10" t="s">
        <v>44</v>
      </c>
      <c r="J22" s="11"/>
      <c r="K22" s="11"/>
      <c r="L22" s="11"/>
      <c r="M22" s="16">
        <v>43586.0</v>
      </c>
    </row>
    <row r="23">
      <c r="A23" s="8" t="s">
        <v>110</v>
      </c>
      <c r="B23" s="9" t="s">
        <v>111</v>
      </c>
      <c r="C23" s="10" t="s">
        <v>112</v>
      </c>
      <c r="D23" s="8">
        <v>2019.0</v>
      </c>
      <c r="E23" s="10" t="s">
        <v>41</v>
      </c>
      <c r="F23" s="13" t="s">
        <v>113</v>
      </c>
      <c r="G23" s="10" t="s">
        <v>23</v>
      </c>
      <c r="H23" s="10" t="s">
        <v>114</v>
      </c>
      <c r="I23" s="10" t="s">
        <v>44</v>
      </c>
      <c r="J23" s="11"/>
      <c r="K23" s="11"/>
      <c r="L23" s="11"/>
      <c r="M23" s="18">
        <v>43525.0</v>
      </c>
    </row>
    <row r="24">
      <c r="A24" s="8" t="s">
        <v>115</v>
      </c>
      <c r="B24" s="9" t="s">
        <v>116</v>
      </c>
      <c r="C24" s="10" t="s">
        <v>117</v>
      </c>
      <c r="D24" s="8">
        <v>2019.0</v>
      </c>
      <c r="E24" s="10" t="s">
        <v>41</v>
      </c>
      <c r="F24" s="13" t="s">
        <v>118</v>
      </c>
      <c r="G24" s="10" t="s">
        <v>60</v>
      </c>
      <c r="H24" s="10" t="s">
        <v>119</v>
      </c>
      <c r="I24" s="10" t="s">
        <v>44</v>
      </c>
      <c r="J24" s="11"/>
      <c r="K24" s="11"/>
      <c r="L24" s="11"/>
      <c r="M24" s="16">
        <v>43497.0</v>
      </c>
    </row>
    <row r="25">
      <c r="A25" s="8" t="s">
        <v>120</v>
      </c>
      <c r="B25" s="9" t="s">
        <v>121</v>
      </c>
      <c r="C25" s="10" t="s">
        <v>122</v>
      </c>
      <c r="D25" s="8">
        <v>2019.0</v>
      </c>
      <c r="E25" s="10" t="s">
        <v>41</v>
      </c>
      <c r="F25" s="13" t="s">
        <v>123</v>
      </c>
      <c r="G25" s="10" t="s">
        <v>23</v>
      </c>
      <c r="H25" s="10" t="s">
        <v>124</v>
      </c>
      <c r="I25" s="10" t="s">
        <v>44</v>
      </c>
      <c r="J25" s="11"/>
      <c r="K25" s="11"/>
      <c r="L25" s="11"/>
      <c r="M25" s="16">
        <v>43497.0</v>
      </c>
    </row>
    <row r="26">
      <c r="A26" s="8" t="s">
        <v>125</v>
      </c>
      <c r="B26" s="9" t="s">
        <v>126</v>
      </c>
      <c r="C26" s="10" t="s">
        <v>127</v>
      </c>
      <c r="D26" s="8">
        <v>2019.0</v>
      </c>
      <c r="E26" s="10" t="s">
        <v>41</v>
      </c>
      <c r="F26" s="13" t="s">
        <v>128</v>
      </c>
      <c r="G26" s="10" t="s">
        <v>23</v>
      </c>
      <c r="H26" s="10" t="s">
        <v>109</v>
      </c>
      <c r="I26" s="10" t="s">
        <v>44</v>
      </c>
      <c r="J26" s="11"/>
      <c r="K26" s="11"/>
      <c r="L26" s="11"/>
      <c r="M26" s="16">
        <v>43466.0</v>
      </c>
    </row>
    <row r="27">
      <c r="A27" s="8" t="s">
        <v>129</v>
      </c>
      <c r="B27" s="9" t="s">
        <v>130</v>
      </c>
      <c r="C27" s="10" t="s">
        <v>131</v>
      </c>
      <c r="D27" s="8">
        <v>2018.0</v>
      </c>
      <c r="E27" s="10" t="s">
        <v>41</v>
      </c>
      <c r="F27" s="13" t="s">
        <v>132</v>
      </c>
      <c r="G27" s="10" t="s">
        <v>23</v>
      </c>
      <c r="H27" s="10" t="s">
        <v>133</v>
      </c>
      <c r="I27" s="10" t="s">
        <v>44</v>
      </c>
      <c r="J27" s="11"/>
      <c r="K27" s="11"/>
      <c r="L27" s="11"/>
      <c r="M27" s="18">
        <v>43405.0</v>
      </c>
    </row>
    <row r="28">
      <c r="A28" s="8" t="s">
        <v>134</v>
      </c>
      <c r="B28" s="9" t="s">
        <v>135</v>
      </c>
      <c r="C28" s="10" t="s">
        <v>136</v>
      </c>
      <c r="D28" s="8">
        <v>2018.0</v>
      </c>
      <c r="E28" s="10" t="s">
        <v>41</v>
      </c>
      <c r="F28" s="13" t="s">
        <v>137</v>
      </c>
      <c r="G28" s="10" t="s">
        <v>60</v>
      </c>
      <c r="H28" s="10" t="s">
        <v>138</v>
      </c>
      <c r="I28" s="10" t="s">
        <v>44</v>
      </c>
      <c r="J28" s="11"/>
      <c r="K28" s="11"/>
      <c r="L28" s="11"/>
      <c r="M28" s="16">
        <v>43405.0</v>
      </c>
    </row>
    <row r="29">
      <c r="A29" s="8" t="s">
        <v>120</v>
      </c>
      <c r="B29" s="9" t="s">
        <v>139</v>
      </c>
      <c r="C29" s="10" t="s">
        <v>140</v>
      </c>
      <c r="D29" s="8">
        <v>2018.0</v>
      </c>
      <c r="E29" s="10" t="s">
        <v>41</v>
      </c>
      <c r="F29" s="13" t="s">
        <v>141</v>
      </c>
      <c r="G29" s="10" t="s">
        <v>23</v>
      </c>
      <c r="H29" s="10" t="s">
        <v>142</v>
      </c>
      <c r="I29" s="10" t="s">
        <v>44</v>
      </c>
      <c r="J29" s="11"/>
      <c r="K29" s="11"/>
      <c r="L29" s="11"/>
      <c r="M29" s="16">
        <v>43374.0</v>
      </c>
    </row>
    <row r="30">
      <c r="A30" s="8" t="s">
        <v>143</v>
      </c>
      <c r="B30" s="9" t="s">
        <v>144</v>
      </c>
      <c r="C30" s="10" t="s">
        <v>145</v>
      </c>
      <c r="D30" s="8">
        <v>2018.0</v>
      </c>
      <c r="E30" s="10" t="s">
        <v>41</v>
      </c>
      <c r="F30" s="13" t="s">
        <v>146</v>
      </c>
      <c r="G30" s="10" t="s">
        <v>23</v>
      </c>
      <c r="H30" s="10" t="s">
        <v>147</v>
      </c>
      <c r="I30" s="10" t="s">
        <v>44</v>
      </c>
      <c r="J30" s="11"/>
      <c r="K30" s="11"/>
      <c r="L30" s="11"/>
      <c r="M30" s="16">
        <v>43374.0</v>
      </c>
    </row>
    <row r="31">
      <c r="A31" s="8" t="s">
        <v>148</v>
      </c>
      <c r="B31" s="9" t="s">
        <v>149</v>
      </c>
      <c r="C31" s="10" t="s">
        <v>150</v>
      </c>
      <c r="D31" s="8">
        <v>2018.0</v>
      </c>
      <c r="E31" s="10" t="s">
        <v>41</v>
      </c>
      <c r="F31" s="13" t="s">
        <v>151</v>
      </c>
      <c r="G31" s="10" t="s">
        <v>60</v>
      </c>
      <c r="H31" s="10" t="s">
        <v>152</v>
      </c>
      <c r="I31" s="10" t="s">
        <v>44</v>
      </c>
      <c r="J31" s="11"/>
      <c r="K31" s="11"/>
      <c r="L31" s="11"/>
      <c r="M31" s="16">
        <v>43344.0</v>
      </c>
    </row>
    <row r="32">
      <c r="A32" s="8" t="s">
        <v>153</v>
      </c>
      <c r="B32" s="9" t="s">
        <v>154</v>
      </c>
      <c r="C32" s="10" t="s">
        <v>155</v>
      </c>
      <c r="D32" s="8">
        <v>2018.0</v>
      </c>
      <c r="E32" s="10" t="s">
        <v>41</v>
      </c>
      <c r="F32" s="13" t="s">
        <v>156</v>
      </c>
      <c r="G32" s="10" t="s">
        <v>23</v>
      </c>
      <c r="H32" s="10" t="s">
        <v>147</v>
      </c>
      <c r="I32" s="10" t="s">
        <v>44</v>
      </c>
      <c r="J32" s="11"/>
      <c r="K32" s="11"/>
      <c r="L32" s="11"/>
      <c r="M32" s="16">
        <v>43344.0</v>
      </c>
    </row>
    <row r="33">
      <c r="A33" s="8" t="s">
        <v>157</v>
      </c>
      <c r="B33" s="9" t="s">
        <v>158</v>
      </c>
      <c r="C33" s="10" t="s">
        <v>159</v>
      </c>
      <c r="D33" s="8">
        <v>2018.0</v>
      </c>
      <c r="E33" s="10" t="s">
        <v>41</v>
      </c>
      <c r="F33" s="13" t="s">
        <v>160</v>
      </c>
      <c r="G33" s="10" t="s">
        <v>60</v>
      </c>
      <c r="H33" s="10" t="s">
        <v>161</v>
      </c>
      <c r="I33" s="10" t="s">
        <v>44</v>
      </c>
      <c r="J33" s="11"/>
      <c r="K33" s="11"/>
      <c r="L33" s="11"/>
      <c r="M33" s="16">
        <v>43313.0</v>
      </c>
    </row>
    <row r="34">
      <c r="A34" s="8" t="s">
        <v>162</v>
      </c>
      <c r="B34" s="9" t="s">
        <v>163</v>
      </c>
      <c r="C34" s="10" t="s">
        <v>164</v>
      </c>
      <c r="D34" s="8">
        <v>2018.0</v>
      </c>
      <c r="E34" s="10" t="s">
        <v>41</v>
      </c>
      <c r="F34" s="13" t="s">
        <v>165</v>
      </c>
      <c r="G34" s="10" t="s">
        <v>60</v>
      </c>
      <c r="H34" s="10" t="s">
        <v>166</v>
      </c>
      <c r="I34" s="10" t="s">
        <v>44</v>
      </c>
      <c r="J34" s="11"/>
      <c r="K34" s="11"/>
      <c r="L34" s="11"/>
      <c r="M34" s="16">
        <v>43252.0</v>
      </c>
    </row>
    <row r="35">
      <c r="A35" s="8" t="s">
        <v>167</v>
      </c>
      <c r="B35" s="9" t="s">
        <v>168</v>
      </c>
      <c r="C35" s="10" t="s">
        <v>169</v>
      </c>
      <c r="D35" s="8">
        <v>2018.0</v>
      </c>
      <c r="E35" s="10" t="s">
        <v>41</v>
      </c>
      <c r="F35" s="13" t="s">
        <v>48</v>
      </c>
      <c r="G35" s="10" t="s">
        <v>23</v>
      </c>
      <c r="H35" s="10" t="s">
        <v>147</v>
      </c>
      <c r="I35" s="10" t="s">
        <v>44</v>
      </c>
      <c r="J35" s="11"/>
      <c r="K35" s="11"/>
      <c r="L35" s="11"/>
      <c r="M35" s="16">
        <v>43252.0</v>
      </c>
    </row>
    <row r="36">
      <c r="A36" s="8" t="s">
        <v>100</v>
      </c>
      <c r="B36" s="9" t="s">
        <v>170</v>
      </c>
      <c r="C36" s="10" t="s">
        <v>171</v>
      </c>
      <c r="D36" s="8">
        <v>2018.0</v>
      </c>
      <c r="E36" s="10" t="s">
        <v>41</v>
      </c>
      <c r="F36" s="13" t="s">
        <v>172</v>
      </c>
      <c r="G36" s="10" t="s">
        <v>60</v>
      </c>
      <c r="H36" s="10" t="s">
        <v>173</v>
      </c>
      <c r="I36" s="10" t="s">
        <v>44</v>
      </c>
      <c r="J36" s="11"/>
      <c r="K36" s="11"/>
      <c r="L36" s="11"/>
      <c r="M36" s="16">
        <v>43221.0</v>
      </c>
    </row>
    <row r="37">
      <c r="A37" s="8" t="s">
        <v>174</v>
      </c>
      <c r="B37" s="9" t="s">
        <v>175</v>
      </c>
      <c r="C37" s="10" t="s">
        <v>169</v>
      </c>
      <c r="D37" s="8">
        <v>2018.0</v>
      </c>
      <c r="E37" s="10" t="s">
        <v>41</v>
      </c>
      <c r="F37" s="13" t="s">
        <v>176</v>
      </c>
      <c r="G37" s="10" t="s">
        <v>23</v>
      </c>
      <c r="H37" s="10" t="s">
        <v>147</v>
      </c>
      <c r="I37" s="10" t="s">
        <v>44</v>
      </c>
      <c r="J37" s="11"/>
      <c r="K37" s="11"/>
      <c r="L37" s="11"/>
      <c r="M37" s="16">
        <v>43191.0</v>
      </c>
    </row>
    <row r="38">
      <c r="A38" s="8" t="s">
        <v>177</v>
      </c>
      <c r="B38" s="9" t="s">
        <v>178</v>
      </c>
      <c r="C38" s="10" t="s">
        <v>179</v>
      </c>
      <c r="D38" s="8">
        <v>2018.0</v>
      </c>
      <c r="E38" s="10" t="s">
        <v>41</v>
      </c>
      <c r="F38" s="13" t="s">
        <v>180</v>
      </c>
      <c r="G38" s="10" t="s">
        <v>181</v>
      </c>
      <c r="H38" s="10" t="s">
        <v>182</v>
      </c>
      <c r="I38" s="10" t="s">
        <v>44</v>
      </c>
      <c r="J38" s="11"/>
      <c r="K38" s="11"/>
      <c r="L38" s="11"/>
      <c r="M38" s="16">
        <v>43191.0</v>
      </c>
    </row>
    <row r="39">
      <c r="A39" s="8" t="s">
        <v>183</v>
      </c>
      <c r="B39" s="9" t="s">
        <v>184</v>
      </c>
      <c r="C39" s="10" t="s">
        <v>185</v>
      </c>
      <c r="D39" s="8">
        <v>2019.0</v>
      </c>
      <c r="E39" s="10" t="s">
        <v>41</v>
      </c>
      <c r="F39" s="13" t="s">
        <v>186</v>
      </c>
      <c r="G39" s="10" t="s">
        <v>60</v>
      </c>
      <c r="H39" s="10" t="s">
        <v>187</v>
      </c>
      <c r="I39" s="10" t="s">
        <v>44</v>
      </c>
      <c r="J39" s="11"/>
      <c r="K39" s="11"/>
      <c r="L39" s="11"/>
      <c r="M39" s="16">
        <v>43160.0</v>
      </c>
    </row>
    <row r="40" ht="111.75" customHeight="1">
      <c r="A40" s="8" t="s">
        <v>188</v>
      </c>
      <c r="B40" s="9" t="s">
        <v>189</v>
      </c>
      <c r="C40" s="10" t="s">
        <v>190</v>
      </c>
      <c r="D40" s="8">
        <v>2018.0</v>
      </c>
      <c r="E40" s="10" t="s">
        <v>41</v>
      </c>
      <c r="F40" s="13" t="s">
        <v>191</v>
      </c>
      <c r="G40" s="10" t="s">
        <v>23</v>
      </c>
      <c r="H40" s="10" t="s">
        <v>192</v>
      </c>
      <c r="I40" s="19" t="s">
        <v>44</v>
      </c>
      <c r="J40" s="11"/>
      <c r="K40" s="11"/>
      <c r="L40" s="11"/>
      <c r="M40" s="16">
        <v>43130.0</v>
      </c>
    </row>
    <row r="41">
      <c r="A41" s="8" t="s">
        <v>148</v>
      </c>
      <c r="B41" s="9" t="s">
        <v>193</v>
      </c>
      <c r="C41" s="10" t="s">
        <v>194</v>
      </c>
      <c r="D41" s="8">
        <v>2017.0</v>
      </c>
      <c r="E41" s="10" t="s">
        <v>41</v>
      </c>
      <c r="F41" s="13" t="s">
        <v>195</v>
      </c>
      <c r="G41" s="10" t="s">
        <v>60</v>
      </c>
      <c r="H41" s="10" t="s">
        <v>152</v>
      </c>
      <c r="I41" s="10" t="s">
        <v>44</v>
      </c>
      <c r="J41" s="11"/>
      <c r="K41" s="11"/>
      <c r="L41" s="11"/>
      <c r="M41" s="16">
        <v>43040.0</v>
      </c>
    </row>
    <row r="42">
      <c r="A42" s="8" t="s">
        <v>196</v>
      </c>
      <c r="B42" s="9" t="s">
        <v>197</v>
      </c>
      <c r="C42" s="10" t="s">
        <v>198</v>
      </c>
      <c r="D42" s="8">
        <v>2017.0</v>
      </c>
      <c r="E42" s="10" t="s">
        <v>41</v>
      </c>
      <c r="F42" s="13" t="s">
        <v>199</v>
      </c>
      <c r="G42" s="20" t="s">
        <v>200</v>
      </c>
      <c r="H42" s="10" t="s">
        <v>201</v>
      </c>
      <c r="I42" s="19" t="s">
        <v>44</v>
      </c>
      <c r="J42" s="11"/>
      <c r="K42" s="11"/>
      <c r="L42" s="11"/>
      <c r="M42" s="16">
        <v>43040.0</v>
      </c>
    </row>
    <row r="43">
      <c r="A43" s="21" t="s">
        <v>202</v>
      </c>
      <c r="B43" s="22" t="s">
        <v>203</v>
      </c>
      <c r="C43" s="21" t="s">
        <v>204</v>
      </c>
      <c r="D43" s="8">
        <v>2017.0</v>
      </c>
      <c r="E43" s="10" t="s">
        <v>41</v>
      </c>
      <c r="F43" s="13" t="s">
        <v>48</v>
      </c>
      <c r="G43" s="20" t="s">
        <v>205</v>
      </c>
      <c r="H43" s="10" t="s">
        <v>206</v>
      </c>
      <c r="I43" s="19" t="s">
        <v>44</v>
      </c>
      <c r="J43" s="23"/>
      <c r="K43" s="23"/>
      <c r="L43" s="23"/>
      <c r="M43" s="24">
        <v>43009.0</v>
      </c>
    </row>
    <row r="44">
      <c r="A44" s="8" t="s">
        <v>207</v>
      </c>
      <c r="B44" s="9" t="s">
        <v>208</v>
      </c>
      <c r="C44" s="10" t="s">
        <v>209</v>
      </c>
      <c r="D44" s="8">
        <v>2017.0</v>
      </c>
      <c r="E44" s="10" t="s">
        <v>41</v>
      </c>
      <c r="F44" s="13" t="s">
        <v>48</v>
      </c>
      <c r="G44" s="10" t="s">
        <v>210</v>
      </c>
      <c r="H44" s="10" t="s">
        <v>166</v>
      </c>
      <c r="I44" s="19" t="s">
        <v>44</v>
      </c>
      <c r="J44" s="11"/>
      <c r="K44" s="11"/>
      <c r="L44" s="11"/>
      <c r="M44" s="16">
        <v>42979.0</v>
      </c>
    </row>
    <row r="45">
      <c r="A45" s="8" t="s">
        <v>211</v>
      </c>
      <c r="B45" s="22" t="s">
        <v>203</v>
      </c>
      <c r="C45" s="10" t="s">
        <v>212</v>
      </c>
      <c r="D45" s="8">
        <v>2017.0</v>
      </c>
      <c r="E45" s="10" t="s">
        <v>41</v>
      </c>
      <c r="F45" s="13" t="s">
        <v>48</v>
      </c>
      <c r="G45" s="20" t="s">
        <v>205</v>
      </c>
      <c r="H45" s="10" t="s">
        <v>206</v>
      </c>
      <c r="I45" s="19" t="s">
        <v>44</v>
      </c>
      <c r="J45" s="11"/>
      <c r="K45" s="11"/>
      <c r="L45" s="11"/>
      <c r="M45" s="16">
        <v>42795.0</v>
      </c>
    </row>
    <row r="46">
      <c r="A46" s="8" t="s">
        <v>213</v>
      </c>
      <c r="B46" s="9" t="s">
        <v>214</v>
      </c>
      <c r="C46" s="10" t="s">
        <v>215</v>
      </c>
      <c r="D46" s="8">
        <v>2017.0</v>
      </c>
      <c r="E46" s="10" t="s">
        <v>41</v>
      </c>
      <c r="F46" s="13" t="s">
        <v>48</v>
      </c>
      <c r="G46" s="20" t="s">
        <v>200</v>
      </c>
      <c r="H46" s="10" t="s">
        <v>201</v>
      </c>
      <c r="I46" s="19" t="s">
        <v>44</v>
      </c>
      <c r="J46" s="11"/>
      <c r="K46" s="11"/>
      <c r="L46" s="11"/>
      <c r="M46" s="16">
        <v>42614.0</v>
      </c>
    </row>
    <row r="47">
      <c r="A47" s="8" t="s">
        <v>216</v>
      </c>
      <c r="B47" s="9" t="s">
        <v>217</v>
      </c>
      <c r="C47" s="10" t="s">
        <v>218</v>
      </c>
      <c r="D47" s="8">
        <v>2017.0</v>
      </c>
      <c r="E47" s="10" t="s">
        <v>41</v>
      </c>
      <c r="F47" s="13" t="s">
        <v>48</v>
      </c>
      <c r="G47" s="20" t="s">
        <v>200</v>
      </c>
      <c r="H47" s="10" t="s">
        <v>201</v>
      </c>
      <c r="I47" s="19" t="s">
        <v>44</v>
      </c>
      <c r="J47" s="11"/>
      <c r="K47" s="11"/>
      <c r="L47" s="11"/>
      <c r="M47" s="16">
        <v>42522.0</v>
      </c>
    </row>
    <row r="48" ht="35.25" customHeight="1">
      <c r="A48" s="8" t="s">
        <v>219</v>
      </c>
      <c r="B48" s="9" t="s">
        <v>220</v>
      </c>
      <c r="C48" s="10" t="s">
        <v>221</v>
      </c>
      <c r="D48" s="8">
        <v>2016.0</v>
      </c>
      <c r="E48" s="10" t="s">
        <v>222</v>
      </c>
      <c r="F48" s="13" t="s">
        <v>223</v>
      </c>
      <c r="G48" s="10" t="s">
        <v>224</v>
      </c>
      <c r="H48" s="10" t="s">
        <v>225</v>
      </c>
      <c r="I48" s="19" t="s">
        <v>226</v>
      </c>
      <c r="J48" s="11"/>
      <c r="K48" s="11"/>
      <c r="L48" s="11"/>
      <c r="M48" s="16">
        <v>42430.0</v>
      </c>
    </row>
    <row r="49">
      <c r="A49" s="8" t="s">
        <v>227</v>
      </c>
      <c r="B49" s="9" t="s">
        <v>228</v>
      </c>
      <c r="C49" s="10" t="s">
        <v>229</v>
      </c>
      <c r="D49" s="8">
        <v>2016.0</v>
      </c>
      <c r="E49" s="10" t="s">
        <v>222</v>
      </c>
      <c r="F49" s="13" t="s">
        <v>230</v>
      </c>
      <c r="G49" s="10" t="s">
        <v>224</v>
      </c>
      <c r="H49" s="10" t="s">
        <v>201</v>
      </c>
      <c r="I49" s="19" t="s">
        <v>226</v>
      </c>
      <c r="J49" s="11"/>
      <c r="K49" s="11"/>
      <c r="L49" s="11"/>
      <c r="M49" s="16">
        <v>42401.0</v>
      </c>
    </row>
    <row r="50" ht="36.0" customHeight="1">
      <c r="A50" s="8" t="s">
        <v>231</v>
      </c>
      <c r="B50" s="9" t="s">
        <v>232</v>
      </c>
      <c r="C50" s="10" t="s">
        <v>233</v>
      </c>
      <c r="D50" s="8">
        <v>2016.0</v>
      </c>
      <c r="E50" s="10" t="s">
        <v>222</v>
      </c>
      <c r="F50" s="13" t="s">
        <v>234</v>
      </c>
      <c r="G50" s="10" t="s">
        <v>235</v>
      </c>
      <c r="H50" s="10" t="s">
        <v>236</v>
      </c>
      <c r="I50" s="19" t="s">
        <v>226</v>
      </c>
      <c r="J50" s="11"/>
      <c r="K50" s="11"/>
      <c r="L50" s="11"/>
      <c r="M50" s="16">
        <v>42399.0</v>
      </c>
    </row>
    <row r="51">
      <c r="A51" s="8" t="s">
        <v>237</v>
      </c>
      <c r="B51" s="9" t="s">
        <v>238</v>
      </c>
      <c r="C51" s="10" t="s">
        <v>239</v>
      </c>
      <c r="D51" s="8">
        <f t="shared" ref="D51:D86" si="1">year(M51)</f>
        <v>2015</v>
      </c>
      <c r="E51" s="10" t="s">
        <v>222</v>
      </c>
      <c r="F51" s="13" t="s">
        <v>240</v>
      </c>
      <c r="G51" s="10" t="s">
        <v>224</v>
      </c>
      <c r="H51" s="10" t="s">
        <v>201</v>
      </c>
      <c r="I51" s="19" t="s">
        <v>226</v>
      </c>
      <c r="J51" s="11"/>
      <c r="K51" s="11"/>
      <c r="L51" s="11" t="str">
        <f t="shared" ref="L51:L86" si="2">IF(E51:E86="Yes","YES","")</f>
        <v/>
      </c>
      <c r="M51" s="16">
        <v>42310.0</v>
      </c>
    </row>
    <row r="52">
      <c r="A52" s="8" t="s">
        <v>241</v>
      </c>
      <c r="B52" s="9" t="s">
        <v>242</v>
      </c>
      <c r="C52" s="10" t="s">
        <v>243</v>
      </c>
      <c r="D52" s="8">
        <f t="shared" si="1"/>
        <v>2015</v>
      </c>
      <c r="E52" s="10" t="s">
        <v>222</v>
      </c>
      <c r="F52" s="13" t="s">
        <v>244</v>
      </c>
      <c r="G52" s="10" t="s">
        <v>245</v>
      </c>
      <c r="H52" s="10" t="s">
        <v>246</v>
      </c>
      <c r="I52" s="19" t="s">
        <v>226</v>
      </c>
      <c r="J52" s="11"/>
      <c r="K52" s="11"/>
      <c r="L52" s="11" t="str">
        <f t="shared" si="2"/>
        <v/>
      </c>
      <c r="M52" s="16">
        <v>42278.0</v>
      </c>
    </row>
    <row r="53">
      <c r="A53" s="8" t="s">
        <v>247</v>
      </c>
      <c r="B53" s="9" t="s">
        <v>248</v>
      </c>
      <c r="C53" s="10" t="s">
        <v>249</v>
      </c>
      <c r="D53" s="8">
        <f t="shared" si="1"/>
        <v>2015</v>
      </c>
      <c r="E53" s="10" t="s">
        <v>222</v>
      </c>
      <c r="F53" s="13" t="s">
        <v>250</v>
      </c>
      <c r="G53" s="10" t="s">
        <v>251</v>
      </c>
      <c r="H53" s="10" t="s">
        <v>252</v>
      </c>
      <c r="I53" s="19" t="s">
        <v>226</v>
      </c>
      <c r="J53" s="11"/>
      <c r="K53" s="11"/>
      <c r="L53" s="11" t="str">
        <f t="shared" si="2"/>
        <v/>
      </c>
      <c r="M53" s="16">
        <v>42265.0</v>
      </c>
    </row>
    <row r="54">
      <c r="A54" s="8" t="s">
        <v>253</v>
      </c>
      <c r="B54" s="9" t="s">
        <v>254</v>
      </c>
      <c r="C54" s="10" t="s">
        <v>255</v>
      </c>
      <c r="D54" s="8">
        <f t="shared" si="1"/>
        <v>2015</v>
      </c>
      <c r="E54" s="10" t="s">
        <v>222</v>
      </c>
      <c r="F54" s="13" t="s">
        <v>256</v>
      </c>
      <c r="G54" s="10" t="s">
        <v>257</v>
      </c>
      <c r="H54" s="10" t="s">
        <v>258</v>
      </c>
      <c r="I54" s="19" t="s">
        <v>226</v>
      </c>
      <c r="J54" s="11"/>
      <c r="K54" s="11"/>
      <c r="L54" s="11" t="str">
        <f t="shared" si="2"/>
        <v/>
      </c>
      <c r="M54" s="16">
        <v>42264.0</v>
      </c>
    </row>
    <row r="55">
      <c r="A55" s="25" t="s">
        <v>259</v>
      </c>
      <c r="B55" s="9" t="s">
        <v>260</v>
      </c>
      <c r="C55" s="10" t="s">
        <v>261</v>
      </c>
      <c r="D55" s="8">
        <f t="shared" si="1"/>
        <v>2015</v>
      </c>
      <c r="E55" s="10" t="s">
        <v>222</v>
      </c>
      <c r="F55" s="13" t="s">
        <v>262</v>
      </c>
      <c r="G55" s="10" t="s">
        <v>263</v>
      </c>
      <c r="H55" s="10" t="s">
        <v>264</v>
      </c>
      <c r="I55" s="19" t="s">
        <v>226</v>
      </c>
      <c r="J55" s="11"/>
      <c r="K55" s="11"/>
      <c r="L55" s="11" t="str">
        <f t="shared" si="2"/>
        <v/>
      </c>
      <c r="M55" s="26">
        <v>42064.0</v>
      </c>
    </row>
    <row r="56">
      <c r="A56" s="25" t="s">
        <v>265</v>
      </c>
      <c r="B56" s="9" t="s">
        <v>266</v>
      </c>
      <c r="C56" s="10" t="s">
        <v>267</v>
      </c>
      <c r="D56" s="8">
        <f t="shared" si="1"/>
        <v>2015</v>
      </c>
      <c r="E56" s="10" t="s">
        <v>268</v>
      </c>
      <c r="F56" s="13" t="s">
        <v>269</v>
      </c>
      <c r="G56" s="19" t="s">
        <v>60</v>
      </c>
      <c r="H56" s="10" t="s">
        <v>166</v>
      </c>
      <c r="I56" s="19" t="s">
        <v>44</v>
      </c>
      <c r="J56" s="11"/>
      <c r="K56" s="11"/>
      <c r="L56" s="11" t="str">
        <f t="shared" si="2"/>
        <v/>
      </c>
      <c r="M56" s="26">
        <v>42009.0</v>
      </c>
    </row>
    <row r="57">
      <c r="A57" s="8" t="s">
        <v>270</v>
      </c>
      <c r="B57" s="9" t="s">
        <v>271</v>
      </c>
      <c r="C57" s="10" t="s">
        <v>272</v>
      </c>
      <c r="D57" s="8">
        <f t="shared" si="1"/>
        <v>2015</v>
      </c>
      <c r="E57" s="10" t="s">
        <v>268</v>
      </c>
      <c r="F57" s="13" t="s">
        <v>273</v>
      </c>
      <c r="G57" s="10" t="s">
        <v>274</v>
      </c>
      <c r="H57" s="10" t="s">
        <v>275</v>
      </c>
      <c r="I57" s="19" t="s">
        <v>44</v>
      </c>
      <c r="J57" s="11"/>
      <c r="K57" s="11"/>
      <c r="L57" s="11" t="str">
        <f t="shared" si="2"/>
        <v/>
      </c>
      <c r="M57" s="16">
        <v>42005.0</v>
      </c>
    </row>
    <row r="58">
      <c r="A58" s="8" t="s">
        <v>276</v>
      </c>
      <c r="B58" s="9" t="s">
        <v>277</v>
      </c>
      <c r="C58" s="10" t="s">
        <v>278</v>
      </c>
      <c r="D58" s="8">
        <f t="shared" si="1"/>
        <v>2015</v>
      </c>
      <c r="E58" s="10" t="s">
        <v>268</v>
      </c>
      <c r="F58" s="13" t="s">
        <v>279</v>
      </c>
      <c r="G58" s="10" t="s">
        <v>274</v>
      </c>
      <c r="H58" s="10" t="s">
        <v>280</v>
      </c>
      <c r="I58" s="19" t="s">
        <v>44</v>
      </c>
      <c r="J58" s="11"/>
      <c r="K58" s="11"/>
      <c r="L58" s="11" t="str">
        <f t="shared" si="2"/>
        <v/>
      </c>
      <c r="M58" s="16">
        <v>42005.0</v>
      </c>
    </row>
    <row r="59">
      <c r="A59" s="25" t="s">
        <v>281</v>
      </c>
      <c r="B59" s="9" t="s">
        <v>282</v>
      </c>
      <c r="C59" s="10" t="s">
        <v>283</v>
      </c>
      <c r="D59" s="8">
        <f t="shared" si="1"/>
        <v>2014</v>
      </c>
      <c r="E59" s="10" t="s">
        <v>268</v>
      </c>
      <c r="F59" s="13" t="s">
        <v>284</v>
      </c>
      <c r="G59" s="19" t="s">
        <v>60</v>
      </c>
      <c r="H59" s="10" t="s">
        <v>166</v>
      </c>
      <c r="I59" s="19" t="s">
        <v>44</v>
      </c>
      <c r="J59" s="11"/>
      <c r="K59" s="11"/>
      <c r="L59" s="11" t="str">
        <f t="shared" si="2"/>
        <v/>
      </c>
      <c r="M59" s="26">
        <v>41978.0</v>
      </c>
    </row>
    <row r="60">
      <c r="A60" s="8" t="s">
        <v>285</v>
      </c>
      <c r="B60" s="9" t="s">
        <v>286</v>
      </c>
      <c r="C60" s="10" t="s">
        <v>287</v>
      </c>
      <c r="D60" s="8">
        <f t="shared" si="1"/>
        <v>2014</v>
      </c>
      <c r="E60" s="10" t="s">
        <v>268</v>
      </c>
      <c r="F60" s="13" t="s">
        <v>288</v>
      </c>
      <c r="G60" s="19" t="s">
        <v>23</v>
      </c>
      <c r="H60" s="10" t="s">
        <v>147</v>
      </c>
      <c r="I60" s="19" t="s">
        <v>44</v>
      </c>
      <c r="J60" s="11"/>
      <c r="K60" s="11"/>
      <c r="L60" s="11" t="str">
        <f t="shared" si="2"/>
        <v/>
      </c>
      <c r="M60" s="16">
        <v>41974.0</v>
      </c>
    </row>
    <row r="61">
      <c r="A61" s="8" t="s">
        <v>289</v>
      </c>
      <c r="B61" s="9" t="s">
        <v>290</v>
      </c>
      <c r="C61" s="10" t="s">
        <v>291</v>
      </c>
      <c r="D61" s="8">
        <f t="shared" si="1"/>
        <v>2014</v>
      </c>
      <c r="E61" s="10" t="s">
        <v>268</v>
      </c>
      <c r="F61" s="13" t="s">
        <v>48</v>
      </c>
      <c r="G61" s="10" t="s">
        <v>60</v>
      </c>
      <c r="H61" s="10" t="s">
        <v>166</v>
      </c>
      <c r="I61" s="19" t="s">
        <v>44</v>
      </c>
      <c r="J61" s="11"/>
      <c r="K61" s="11"/>
      <c r="L61" s="11" t="str">
        <f t="shared" si="2"/>
        <v/>
      </c>
      <c r="M61" s="16">
        <v>41961.0</v>
      </c>
    </row>
    <row r="62">
      <c r="A62" s="25" t="s">
        <v>292</v>
      </c>
      <c r="B62" s="9" t="s">
        <v>293</v>
      </c>
      <c r="C62" s="10" t="s">
        <v>294</v>
      </c>
      <c r="D62" s="8">
        <f t="shared" si="1"/>
        <v>2014</v>
      </c>
      <c r="E62" s="10" t="s">
        <v>268</v>
      </c>
      <c r="F62" s="13" t="s">
        <v>295</v>
      </c>
      <c r="G62" s="19" t="s">
        <v>60</v>
      </c>
      <c r="H62" s="10" t="s">
        <v>166</v>
      </c>
      <c r="I62" s="19" t="s">
        <v>44</v>
      </c>
      <c r="J62" s="27"/>
      <c r="K62" s="27"/>
      <c r="L62" s="11" t="str">
        <f t="shared" si="2"/>
        <v/>
      </c>
      <c r="M62" s="26">
        <v>41960.0</v>
      </c>
    </row>
    <row r="63">
      <c r="A63" s="8" t="s">
        <v>296</v>
      </c>
      <c r="B63" s="9" t="s">
        <v>297</v>
      </c>
      <c r="C63" s="10" t="s">
        <v>298</v>
      </c>
      <c r="D63" s="8">
        <f t="shared" si="1"/>
        <v>2014</v>
      </c>
      <c r="E63" s="10" t="s">
        <v>268</v>
      </c>
      <c r="F63" s="28" t="s">
        <v>288</v>
      </c>
      <c r="G63" s="10" t="s">
        <v>23</v>
      </c>
      <c r="H63" s="10" t="s">
        <v>299</v>
      </c>
      <c r="I63" s="19" t="s">
        <v>44</v>
      </c>
      <c r="J63" s="11"/>
      <c r="K63" s="11"/>
      <c r="L63" s="11" t="str">
        <f t="shared" si="2"/>
        <v/>
      </c>
      <c r="M63" s="16">
        <v>41913.0</v>
      </c>
    </row>
    <row r="64">
      <c r="A64" s="25" t="s">
        <v>300</v>
      </c>
      <c r="B64" s="9" t="s">
        <v>301</v>
      </c>
      <c r="C64" s="10" t="s">
        <v>302</v>
      </c>
      <c r="D64" s="8">
        <f t="shared" si="1"/>
        <v>2014</v>
      </c>
      <c r="E64" s="10" t="s">
        <v>268</v>
      </c>
      <c r="F64" s="13" t="s">
        <v>303</v>
      </c>
      <c r="G64" s="19" t="s">
        <v>23</v>
      </c>
      <c r="H64" s="10" t="s">
        <v>114</v>
      </c>
      <c r="I64" s="19" t="s">
        <v>44</v>
      </c>
      <c r="J64" s="11"/>
      <c r="K64" s="27"/>
      <c r="L64" s="11" t="str">
        <f t="shared" si="2"/>
        <v/>
      </c>
      <c r="M64" s="26">
        <v>41884.0</v>
      </c>
    </row>
    <row r="65">
      <c r="A65" s="25" t="s">
        <v>304</v>
      </c>
      <c r="B65" s="9" t="s">
        <v>305</v>
      </c>
      <c r="C65" s="10" t="s">
        <v>306</v>
      </c>
      <c r="D65" s="8">
        <f t="shared" si="1"/>
        <v>2014</v>
      </c>
      <c r="E65" s="10" t="s">
        <v>268</v>
      </c>
      <c r="F65" s="13" t="s">
        <v>307</v>
      </c>
      <c r="G65" s="19" t="s">
        <v>60</v>
      </c>
      <c r="H65" s="10" t="s">
        <v>166</v>
      </c>
      <c r="I65" s="19" t="s">
        <v>44</v>
      </c>
      <c r="J65" s="11"/>
      <c r="K65" s="11"/>
      <c r="L65" s="11" t="str">
        <f t="shared" si="2"/>
        <v/>
      </c>
      <c r="M65" s="26">
        <v>41883.0</v>
      </c>
    </row>
    <row r="66">
      <c r="A66" s="8" t="s">
        <v>308</v>
      </c>
      <c r="B66" s="9" t="s">
        <v>309</v>
      </c>
      <c r="C66" s="10" t="s">
        <v>310</v>
      </c>
      <c r="D66" s="8">
        <f t="shared" si="1"/>
        <v>2014</v>
      </c>
      <c r="E66" s="10" t="s">
        <v>268</v>
      </c>
      <c r="F66" s="13" t="s">
        <v>311</v>
      </c>
      <c r="G66" s="19" t="s">
        <v>23</v>
      </c>
      <c r="H66" s="10" t="s">
        <v>114</v>
      </c>
      <c r="I66" s="19" t="s">
        <v>44</v>
      </c>
      <c r="J66" s="11"/>
      <c r="K66" s="11"/>
      <c r="L66" s="11" t="str">
        <f t="shared" si="2"/>
        <v/>
      </c>
      <c r="M66" s="26">
        <v>41837.0</v>
      </c>
    </row>
    <row r="67">
      <c r="A67" s="29" t="s">
        <v>312</v>
      </c>
      <c r="B67" s="9" t="s">
        <v>313</v>
      </c>
      <c r="C67" s="10" t="s">
        <v>314</v>
      </c>
      <c r="D67" s="8">
        <f t="shared" si="1"/>
        <v>2014</v>
      </c>
      <c r="E67" s="10" t="s">
        <v>268</v>
      </c>
      <c r="F67" s="13" t="s">
        <v>288</v>
      </c>
      <c r="G67" s="19" t="s">
        <v>23</v>
      </c>
      <c r="H67" s="10" t="s">
        <v>147</v>
      </c>
      <c r="I67" s="19" t="s">
        <v>44</v>
      </c>
      <c r="J67" s="11"/>
      <c r="K67" s="11"/>
      <c r="L67" s="11" t="str">
        <f t="shared" si="2"/>
        <v/>
      </c>
      <c r="M67" s="16">
        <v>41830.0</v>
      </c>
    </row>
    <row r="68">
      <c r="A68" s="8" t="s">
        <v>315</v>
      </c>
      <c r="B68" s="9" t="s">
        <v>316</v>
      </c>
      <c r="C68" s="10" t="s">
        <v>317</v>
      </c>
      <c r="D68" s="8">
        <f t="shared" si="1"/>
        <v>2014</v>
      </c>
      <c r="E68" s="10" t="s">
        <v>268</v>
      </c>
      <c r="F68" s="13" t="s">
        <v>318</v>
      </c>
      <c r="G68" s="10" t="s">
        <v>34</v>
      </c>
      <c r="H68" s="10" t="s">
        <v>319</v>
      </c>
      <c r="I68" s="19" t="s">
        <v>44</v>
      </c>
      <c r="J68" s="11"/>
      <c r="K68" s="11"/>
      <c r="L68" s="11" t="str">
        <f t="shared" si="2"/>
        <v/>
      </c>
      <c r="M68" s="16">
        <v>41830.0</v>
      </c>
    </row>
    <row r="69">
      <c r="A69" s="8" t="s">
        <v>320</v>
      </c>
      <c r="B69" s="9" t="s">
        <v>321</v>
      </c>
      <c r="C69" s="10" t="s">
        <v>322</v>
      </c>
      <c r="D69" s="8">
        <f t="shared" si="1"/>
        <v>2014</v>
      </c>
      <c r="E69" s="10" t="s">
        <v>268</v>
      </c>
      <c r="F69" s="13" t="s">
        <v>48</v>
      </c>
      <c r="G69" s="10" t="s">
        <v>60</v>
      </c>
      <c r="H69" s="10" t="s">
        <v>323</v>
      </c>
      <c r="I69" s="19" t="s">
        <v>44</v>
      </c>
      <c r="J69" s="11"/>
      <c r="K69" s="11"/>
      <c r="L69" s="11" t="str">
        <f t="shared" si="2"/>
        <v/>
      </c>
      <c r="M69" s="16">
        <v>41821.0</v>
      </c>
    </row>
    <row r="70">
      <c r="A70" s="8" t="s">
        <v>324</v>
      </c>
      <c r="B70" s="9" t="s">
        <v>325</v>
      </c>
      <c r="C70" s="30" t="s">
        <v>326</v>
      </c>
      <c r="D70" s="8">
        <f t="shared" si="1"/>
        <v>2014</v>
      </c>
      <c r="E70" s="10" t="s">
        <v>268</v>
      </c>
      <c r="F70" s="13" t="s">
        <v>327</v>
      </c>
      <c r="G70" s="19" t="s">
        <v>23</v>
      </c>
      <c r="H70" s="10" t="s">
        <v>147</v>
      </c>
      <c r="I70" s="19" t="s">
        <v>44</v>
      </c>
      <c r="J70" s="11"/>
      <c r="K70" s="11"/>
      <c r="L70" s="11" t="str">
        <f t="shared" si="2"/>
        <v/>
      </c>
      <c r="M70" s="16">
        <v>41820.0</v>
      </c>
    </row>
    <row r="71">
      <c r="A71" s="8" t="s">
        <v>328</v>
      </c>
      <c r="B71" s="9" t="s">
        <v>325</v>
      </c>
      <c r="C71" s="10" t="s">
        <v>329</v>
      </c>
      <c r="D71" s="8">
        <f t="shared" si="1"/>
        <v>2014</v>
      </c>
      <c r="E71" s="10" t="s">
        <v>268</v>
      </c>
      <c r="F71" s="13" t="s">
        <v>327</v>
      </c>
      <c r="G71" s="19" t="s">
        <v>23</v>
      </c>
      <c r="H71" s="10" t="s">
        <v>192</v>
      </c>
      <c r="I71" s="19" t="s">
        <v>44</v>
      </c>
      <c r="J71" s="11"/>
      <c r="K71" s="11"/>
      <c r="L71" s="11" t="str">
        <f t="shared" si="2"/>
        <v/>
      </c>
      <c r="M71" s="26">
        <v>41820.0</v>
      </c>
    </row>
    <row r="72">
      <c r="A72" s="8" t="s">
        <v>330</v>
      </c>
      <c r="B72" s="9" t="s">
        <v>331</v>
      </c>
      <c r="C72" s="10" t="s">
        <v>332</v>
      </c>
      <c r="D72" s="8">
        <f t="shared" si="1"/>
        <v>2014</v>
      </c>
      <c r="E72" s="10" t="s">
        <v>268</v>
      </c>
      <c r="F72" s="13" t="s">
        <v>288</v>
      </c>
      <c r="G72" s="10" t="s">
        <v>333</v>
      </c>
      <c r="H72" s="10" t="s">
        <v>114</v>
      </c>
      <c r="I72" s="19" t="s">
        <v>44</v>
      </c>
      <c r="J72" s="11"/>
      <c r="K72" s="11"/>
      <c r="L72" s="11" t="str">
        <f t="shared" si="2"/>
        <v/>
      </c>
      <c r="M72" s="16">
        <v>41791.0</v>
      </c>
    </row>
    <row r="73">
      <c r="A73" s="8" t="s">
        <v>334</v>
      </c>
      <c r="B73" s="9" t="s">
        <v>335</v>
      </c>
      <c r="C73" s="10" t="s">
        <v>336</v>
      </c>
      <c r="D73" s="8">
        <f t="shared" si="1"/>
        <v>2013</v>
      </c>
      <c r="E73" s="10" t="s">
        <v>268</v>
      </c>
      <c r="F73" s="13" t="s">
        <v>337</v>
      </c>
      <c r="G73" s="10" t="s">
        <v>60</v>
      </c>
      <c r="H73" s="10" t="s">
        <v>173</v>
      </c>
      <c r="I73" s="19" t="s">
        <v>44</v>
      </c>
      <c r="J73" s="11"/>
      <c r="K73" s="11"/>
      <c r="L73" s="11" t="str">
        <f t="shared" si="2"/>
        <v/>
      </c>
      <c r="M73" s="16">
        <v>41624.0</v>
      </c>
    </row>
    <row r="74">
      <c r="A74" s="8" t="s">
        <v>338</v>
      </c>
      <c r="B74" s="9" t="s">
        <v>339</v>
      </c>
      <c r="C74" s="10" t="s">
        <v>340</v>
      </c>
      <c r="D74" s="8">
        <f t="shared" si="1"/>
        <v>2013</v>
      </c>
      <c r="E74" s="10" t="s">
        <v>268</v>
      </c>
      <c r="F74" s="13" t="s">
        <v>48</v>
      </c>
      <c r="G74" s="10" t="s">
        <v>60</v>
      </c>
      <c r="H74" s="10" t="s">
        <v>166</v>
      </c>
      <c r="I74" s="19" t="s">
        <v>44</v>
      </c>
      <c r="J74" s="11"/>
      <c r="K74" s="11"/>
      <c r="L74" s="11" t="str">
        <f t="shared" si="2"/>
        <v/>
      </c>
      <c r="M74" s="16">
        <v>41621.0</v>
      </c>
    </row>
    <row r="75">
      <c r="A75" s="8" t="s">
        <v>341</v>
      </c>
      <c r="B75" s="9" t="s">
        <v>342</v>
      </c>
      <c r="C75" s="10" t="s">
        <v>343</v>
      </c>
      <c r="D75" s="8">
        <f t="shared" si="1"/>
        <v>2013</v>
      </c>
      <c r="E75" s="10" t="s">
        <v>268</v>
      </c>
      <c r="F75" s="13" t="s">
        <v>344</v>
      </c>
      <c r="G75" s="19" t="s">
        <v>60</v>
      </c>
      <c r="H75" s="10" t="s">
        <v>345</v>
      </c>
      <c r="I75" s="19" t="s">
        <v>44</v>
      </c>
      <c r="J75" s="11"/>
      <c r="K75" s="27"/>
      <c r="L75" s="11" t="str">
        <f t="shared" si="2"/>
        <v/>
      </c>
      <c r="M75" s="26">
        <v>41614.0</v>
      </c>
    </row>
    <row r="76">
      <c r="A76" s="8" t="s">
        <v>346</v>
      </c>
      <c r="B76" s="9" t="s">
        <v>313</v>
      </c>
      <c r="C76" s="10" t="s">
        <v>347</v>
      </c>
      <c r="D76" s="8">
        <f t="shared" si="1"/>
        <v>2013</v>
      </c>
      <c r="E76" s="10" t="s">
        <v>268</v>
      </c>
      <c r="F76" s="13" t="s">
        <v>288</v>
      </c>
      <c r="G76" s="19" t="s">
        <v>23</v>
      </c>
      <c r="H76" s="10" t="s">
        <v>147</v>
      </c>
      <c r="I76" s="19" t="s">
        <v>44</v>
      </c>
      <c r="J76" s="11"/>
      <c r="K76" s="11"/>
      <c r="L76" s="11" t="str">
        <f t="shared" si="2"/>
        <v/>
      </c>
      <c r="M76" s="31">
        <v>41565.0</v>
      </c>
    </row>
    <row r="77">
      <c r="A77" s="25" t="s">
        <v>348</v>
      </c>
      <c r="B77" s="9" t="s">
        <v>349</v>
      </c>
      <c r="C77" s="19" t="s">
        <v>350</v>
      </c>
      <c r="D77" s="8">
        <f t="shared" si="1"/>
        <v>2013</v>
      </c>
      <c r="E77" s="10" t="s">
        <v>268</v>
      </c>
      <c r="F77" s="32" t="s">
        <v>351</v>
      </c>
      <c r="G77" s="10" t="s">
        <v>352</v>
      </c>
      <c r="H77" s="10" t="s">
        <v>246</v>
      </c>
      <c r="I77" s="19" t="s">
        <v>44</v>
      </c>
      <c r="J77" s="11"/>
      <c r="K77" s="11"/>
      <c r="L77" s="11" t="str">
        <f t="shared" si="2"/>
        <v/>
      </c>
      <c r="M77" s="26">
        <v>41395.0</v>
      </c>
    </row>
    <row r="78">
      <c r="A78" s="8" t="s">
        <v>353</v>
      </c>
      <c r="B78" s="9" t="s">
        <v>354</v>
      </c>
      <c r="C78" s="10" t="s">
        <v>355</v>
      </c>
      <c r="D78" s="8">
        <f t="shared" si="1"/>
        <v>2013</v>
      </c>
      <c r="E78" s="10" t="s">
        <v>268</v>
      </c>
      <c r="F78" s="13" t="s">
        <v>288</v>
      </c>
      <c r="G78" s="19" t="s">
        <v>23</v>
      </c>
      <c r="H78" s="10" t="s">
        <v>356</v>
      </c>
      <c r="I78" s="19" t="s">
        <v>44</v>
      </c>
      <c r="J78" s="11"/>
      <c r="K78" s="11"/>
      <c r="L78" s="11" t="str">
        <f t="shared" si="2"/>
        <v/>
      </c>
      <c r="M78" s="16">
        <v>41376.0</v>
      </c>
    </row>
    <row r="79">
      <c r="A79" s="8" t="s">
        <v>357</v>
      </c>
      <c r="B79" s="9" t="s">
        <v>358</v>
      </c>
      <c r="C79" s="10" t="s">
        <v>359</v>
      </c>
      <c r="D79" s="8">
        <f t="shared" si="1"/>
        <v>2013</v>
      </c>
      <c r="E79" s="10" t="s">
        <v>268</v>
      </c>
      <c r="F79" s="13" t="s">
        <v>288</v>
      </c>
      <c r="G79" s="19" t="s">
        <v>23</v>
      </c>
      <c r="H79" s="10" t="s">
        <v>356</v>
      </c>
      <c r="I79" s="19" t="s">
        <v>44</v>
      </c>
      <c r="J79" s="11"/>
      <c r="K79" s="11"/>
      <c r="L79" s="11" t="str">
        <f t="shared" si="2"/>
        <v/>
      </c>
      <c r="M79" s="16">
        <v>41341.0</v>
      </c>
    </row>
    <row r="80">
      <c r="A80" s="8" t="s">
        <v>360</v>
      </c>
      <c r="B80" s="9" t="s">
        <v>361</v>
      </c>
      <c r="C80" s="10" t="s">
        <v>362</v>
      </c>
      <c r="D80" s="8">
        <f t="shared" si="1"/>
        <v>2013</v>
      </c>
      <c r="E80" s="10" t="s">
        <v>268</v>
      </c>
      <c r="F80" s="13" t="s">
        <v>363</v>
      </c>
      <c r="G80" s="10" t="s">
        <v>364</v>
      </c>
      <c r="H80" s="10" t="s">
        <v>365</v>
      </c>
      <c r="I80" s="19" t="s">
        <v>44</v>
      </c>
      <c r="J80" s="11"/>
      <c r="K80" s="11"/>
      <c r="L80" s="11" t="str">
        <f t="shared" si="2"/>
        <v/>
      </c>
      <c r="M80" s="16">
        <v>41306.0</v>
      </c>
    </row>
    <row r="81">
      <c r="A81" s="8" t="s">
        <v>366</v>
      </c>
      <c r="B81" s="9" t="s">
        <v>367</v>
      </c>
      <c r="C81" s="10" t="s">
        <v>368</v>
      </c>
      <c r="D81" s="8">
        <f t="shared" si="1"/>
        <v>2012</v>
      </c>
      <c r="E81" s="10" t="s">
        <v>369</v>
      </c>
      <c r="F81" s="13" t="s">
        <v>370</v>
      </c>
      <c r="G81" s="10" t="s">
        <v>371</v>
      </c>
      <c r="H81" s="10" t="s">
        <v>372</v>
      </c>
      <c r="I81" s="10" t="s">
        <v>373</v>
      </c>
      <c r="J81" s="11"/>
      <c r="K81" s="11"/>
      <c r="L81" s="11" t="str">
        <f t="shared" si="2"/>
        <v/>
      </c>
      <c r="M81" s="16">
        <v>41244.0</v>
      </c>
    </row>
    <row r="82">
      <c r="A82" s="8" t="s">
        <v>374</v>
      </c>
      <c r="B82" s="9" t="s">
        <v>375</v>
      </c>
      <c r="C82" s="10" t="s">
        <v>376</v>
      </c>
      <c r="D82" s="8">
        <f t="shared" si="1"/>
        <v>2012</v>
      </c>
      <c r="E82" s="10" t="s">
        <v>377</v>
      </c>
      <c r="F82" s="13" t="s">
        <v>378</v>
      </c>
      <c r="G82" s="10" t="s">
        <v>379</v>
      </c>
      <c r="H82" s="10" t="s">
        <v>380</v>
      </c>
      <c r="I82" s="10" t="s">
        <v>373</v>
      </c>
      <c r="J82" s="11"/>
      <c r="K82" s="11"/>
      <c r="L82" s="11" t="str">
        <f t="shared" si="2"/>
        <v/>
      </c>
      <c r="M82" s="16">
        <v>41153.0</v>
      </c>
    </row>
    <row r="83">
      <c r="A83" s="8" t="s">
        <v>381</v>
      </c>
      <c r="B83" s="9" t="s">
        <v>382</v>
      </c>
      <c r="C83" s="10" t="s">
        <v>383</v>
      </c>
      <c r="D83" s="8">
        <f t="shared" si="1"/>
        <v>2012</v>
      </c>
      <c r="E83" s="10" t="s">
        <v>377</v>
      </c>
      <c r="F83" s="13" t="s">
        <v>384</v>
      </c>
      <c r="G83" s="10" t="s">
        <v>371</v>
      </c>
      <c r="H83" s="10" t="s">
        <v>385</v>
      </c>
      <c r="I83" s="10" t="s">
        <v>386</v>
      </c>
      <c r="J83" s="11"/>
      <c r="K83" s="11"/>
      <c r="L83" s="11" t="str">
        <f t="shared" si="2"/>
        <v/>
      </c>
      <c r="M83" s="16">
        <v>41025.0</v>
      </c>
    </row>
    <row r="84">
      <c r="A84" s="8" t="s">
        <v>387</v>
      </c>
      <c r="B84" s="9" t="s">
        <v>388</v>
      </c>
      <c r="C84" s="10" t="s">
        <v>389</v>
      </c>
      <c r="D84" s="8">
        <f t="shared" si="1"/>
        <v>2011</v>
      </c>
      <c r="E84" s="10" t="s">
        <v>390</v>
      </c>
      <c r="F84" s="13" t="s">
        <v>391</v>
      </c>
      <c r="G84" s="10" t="s">
        <v>392</v>
      </c>
      <c r="H84" s="10" t="s">
        <v>393</v>
      </c>
      <c r="I84" s="10" t="s">
        <v>386</v>
      </c>
      <c r="J84" s="11"/>
      <c r="K84" s="11"/>
      <c r="L84" s="11" t="str">
        <f t="shared" si="2"/>
        <v/>
      </c>
      <c r="M84" s="16">
        <v>40687.0</v>
      </c>
    </row>
    <row r="85">
      <c r="A85" s="8" t="s">
        <v>394</v>
      </c>
      <c r="B85" s="9" t="s">
        <v>395</v>
      </c>
      <c r="C85" s="10" t="s">
        <v>396</v>
      </c>
      <c r="D85" s="8">
        <f t="shared" si="1"/>
        <v>2011</v>
      </c>
      <c r="E85" s="10" t="s">
        <v>390</v>
      </c>
      <c r="F85" s="13" t="s">
        <v>397</v>
      </c>
      <c r="G85" s="10" t="s">
        <v>34</v>
      </c>
      <c r="H85" s="10" t="s">
        <v>398</v>
      </c>
      <c r="I85" s="10" t="s">
        <v>399</v>
      </c>
      <c r="J85" s="11"/>
      <c r="K85" s="11"/>
      <c r="L85" s="11" t="str">
        <f t="shared" si="2"/>
        <v/>
      </c>
      <c r="M85" s="16">
        <v>40662.0</v>
      </c>
    </row>
    <row r="86">
      <c r="A86" s="8" t="s">
        <v>400</v>
      </c>
      <c r="B86" s="9" t="s">
        <v>401</v>
      </c>
      <c r="C86" s="10" t="s">
        <v>402</v>
      </c>
      <c r="D86" s="8">
        <f t="shared" si="1"/>
        <v>2009</v>
      </c>
      <c r="E86" s="10" t="s">
        <v>403</v>
      </c>
      <c r="F86" s="13" t="s">
        <v>404</v>
      </c>
      <c r="G86" s="10" t="s">
        <v>405</v>
      </c>
      <c r="H86" s="10" t="s">
        <v>406</v>
      </c>
      <c r="I86" s="10" t="s">
        <v>407</v>
      </c>
      <c r="J86" s="11"/>
      <c r="K86" s="11"/>
      <c r="L86" s="11" t="str">
        <f t="shared" si="2"/>
        <v/>
      </c>
      <c r="M86" s="16">
        <v>40023.0</v>
      </c>
    </row>
  </sheetData>
  <dataValidations>
    <dataValidation type="list" allowBlank="1" sqref="I3:I86">
      <formula1>Lists!$D:$D</formula1>
    </dataValidation>
  </dataValidation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 r:id="rId29" ref="F36"/>
    <hyperlink r:id="rId30" ref="F37"/>
    <hyperlink r:id="rId31" ref="F38"/>
    <hyperlink r:id="rId32" ref="F39"/>
    <hyperlink r:id="rId33" ref="F40"/>
    <hyperlink r:id="rId34" ref="F41"/>
    <hyperlink r:id="rId35" ref="F42"/>
    <hyperlink r:id="rId36" ref="F43"/>
    <hyperlink r:id="rId37" ref="F44"/>
    <hyperlink r:id="rId38" ref="F45"/>
    <hyperlink r:id="rId39" ref="F46"/>
    <hyperlink r:id="rId40" ref="F47"/>
    <hyperlink r:id="rId41" ref="F48"/>
    <hyperlink r:id="rId42" ref="F49"/>
    <hyperlink r:id="rId43" ref="F50"/>
    <hyperlink r:id="rId44" ref="F51"/>
    <hyperlink r:id="rId45" ref="F52"/>
    <hyperlink r:id="rId46" ref="F53"/>
    <hyperlink r:id="rId47" ref="F54"/>
    <hyperlink r:id="rId48" ref="F55"/>
    <hyperlink r:id="rId49" ref="F56"/>
    <hyperlink r:id="rId50" ref="F57"/>
    <hyperlink r:id="rId51" ref="F58"/>
    <hyperlink r:id="rId52" ref="F59"/>
    <hyperlink r:id="rId53" ref="F60"/>
    <hyperlink r:id="rId54" ref="F61"/>
    <hyperlink r:id="rId55" ref="F62"/>
    <hyperlink r:id="rId56" ref="F63"/>
    <hyperlink r:id="rId57" ref="F64"/>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7"/>
    <hyperlink r:id="rId71" ref="F78"/>
    <hyperlink r:id="rId72" ref="F79"/>
    <hyperlink r:id="rId73" ref="F80"/>
    <hyperlink r:id="rId74" ref="F81"/>
    <hyperlink r:id="rId75" ref="F82"/>
    <hyperlink r:id="rId76" ref="F83"/>
    <hyperlink r:id="rId77" ref="F84"/>
    <hyperlink r:id="rId78" ref="F85"/>
    <hyperlink r:id="rId79" ref="F86"/>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50.88"/>
    <col customWidth="1" min="3" max="3" width="64.13"/>
    <col customWidth="1" min="4" max="6" width="58.63"/>
  </cols>
  <sheetData>
    <row r="1">
      <c r="A1" s="33" t="s">
        <v>10</v>
      </c>
      <c r="B1" s="1" t="s">
        <v>9</v>
      </c>
      <c r="C1" s="33" t="s">
        <v>408</v>
      </c>
      <c r="D1" s="33" t="s">
        <v>408</v>
      </c>
      <c r="E1" s="33" t="s">
        <v>409</v>
      </c>
      <c r="F1" s="33" t="s">
        <v>408</v>
      </c>
    </row>
    <row r="2">
      <c r="A2" s="34" t="s">
        <v>410</v>
      </c>
      <c r="B2" s="35" t="s">
        <v>411</v>
      </c>
      <c r="C2" s="34" t="s">
        <v>412</v>
      </c>
      <c r="D2" s="34" t="s">
        <v>413</v>
      </c>
      <c r="E2" s="34" t="s">
        <v>414</v>
      </c>
      <c r="F2" s="34" t="s">
        <v>415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9.0"/>
    <col customWidth="1" min="6" max="6" width="59.5"/>
  </cols>
  <sheetData>
    <row r="1">
      <c r="A1" s="36" t="s">
        <v>416</v>
      </c>
      <c r="B1" s="36"/>
      <c r="C1" s="36" t="s">
        <v>417</v>
      </c>
      <c r="D1" s="36" t="s">
        <v>8</v>
      </c>
    </row>
    <row r="2">
      <c r="A2" s="17" t="s">
        <v>60</v>
      </c>
      <c r="B2" s="37"/>
      <c r="C2" s="17" t="s">
        <v>418</v>
      </c>
      <c r="D2" s="38" t="s">
        <v>399</v>
      </c>
    </row>
    <row r="3">
      <c r="A3" s="17" t="s">
        <v>23</v>
      </c>
      <c r="B3" s="17"/>
      <c r="C3" s="17" t="s">
        <v>419</v>
      </c>
      <c r="D3" s="39" t="s">
        <v>226</v>
      </c>
    </row>
    <row r="4">
      <c r="A4" s="17" t="s">
        <v>420</v>
      </c>
      <c r="B4" s="17"/>
      <c r="D4" s="39" t="s">
        <v>44</v>
      </c>
    </row>
    <row r="5">
      <c r="A5" s="17" t="s">
        <v>421</v>
      </c>
      <c r="B5" s="17"/>
      <c r="D5" s="38" t="s">
        <v>386</v>
      </c>
    </row>
    <row r="6">
      <c r="A6" s="17" t="s">
        <v>34</v>
      </c>
      <c r="B6" s="17"/>
      <c r="D6" s="40" t="s">
        <v>373</v>
      </c>
    </row>
    <row r="7">
      <c r="B7" s="17"/>
      <c r="D7" s="40" t="s">
        <v>407</v>
      </c>
    </row>
    <row r="8">
      <c r="B8" s="17"/>
    </row>
    <row r="9">
      <c r="B9" s="17"/>
    </row>
    <row r="10">
      <c r="B10" s="17"/>
    </row>
    <row r="11">
      <c r="B11" s="17"/>
      <c r="E11" s="41"/>
      <c r="H11" s="37"/>
    </row>
    <row r="12">
      <c r="B12" s="37"/>
      <c r="F12" s="41"/>
      <c r="H12" s="41"/>
    </row>
    <row r="13">
      <c r="B13" s="37"/>
      <c r="E13" s="41"/>
      <c r="F13" s="37"/>
      <c r="H13" s="37"/>
    </row>
    <row r="14">
      <c r="B14" s="37"/>
      <c r="F14" s="41"/>
      <c r="H14" s="41"/>
    </row>
    <row r="15">
      <c r="B15" s="37"/>
      <c r="E15" s="41"/>
      <c r="F15" s="37"/>
      <c r="H15" s="37"/>
    </row>
    <row r="16">
      <c r="B16" s="37"/>
      <c r="F16" s="37"/>
      <c r="H16" s="41"/>
    </row>
    <row r="17">
      <c r="B17" s="37"/>
      <c r="E17" s="41"/>
      <c r="F17" s="37"/>
      <c r="H17" s="37"/>
    </row>
    <row r="18">
      <c r="B18" s="37"/>
      <c r="E18" s="37"/>
      <c r="F18" s="41"/>
      <c r="H18" s="41"/>
    </row>
    <row r="19">
      <c r="B19" s="37"/>
      <c r="E19" s="41"/>
      <c r="F19" s="37"/>
      <c r="H19" s="37"/>
    </row>
    <row r="20">
      <c r="E20" s="37"/>
      <c r="F20" s="41"/>
      <c r="H20" s="41"/>
    </row>
    <row r="21">
      <c r="E21" s="41"/>
      <c r="F21" s="37"/>
      <c r="H21" s="37"/>
    </row>
    <row r="22">
      <c r="E22" s="37"/>
      <c r="F22" s="41"/>
      <c r="H22" s="41"/>
    </row>
    <row r="23">
      <c r="E23" s="41"/>
      <c r="H23" s="42"/>
    </row>
    <row r="24">
      <c r="E24" s="37"/>
      <c r="F24" s="41"/>
    </row>
    <row r="25">
      <c r="E25" s="41"/>
    </row>
    <row r="26">
      <c r="E26" s="42"/>
      <c r="F26" s="41"/>
    </row>
    <row r="27">
      <c r="F27" s="37"/>
    </row>
    <row r="28">
      <c r="F28" s="41"/>
    </row>
    <row r="30">
      <c r="F30" s="41"/>
    </row>
    <row r="31">
      <c r="F31" s="37"/>
    </row>
    <row r="32">
      <c r="F32" s="41"/>
    </row>
    <row r="33">
      <c r="F33" s="37"/>
    </row>
    <row r="34">
      <c r="F34" s="41"/>
    </row>
    <row r="35">
      <c r="F35" s="37"/>
    </row>
    <row r="36">
      <c r="F36" s="41"/>
    </row>
    <row r="37">
      <c r="F37" s="37"/>
    </row>
    <row r="38">
      <c r="F38" s="41"/>
    </row>
    <row r="39">
      <c r="F39" s="42"/>
    </row>
  </sheetData>
  <drawing r:id="rId1"/>
</worksheet>
</file>